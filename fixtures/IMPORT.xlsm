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Mi unidad\AUTOMATIZACIONES\LOGISITCA\"/>
    </mc:Choice>
  </mc:AlternateContent>
  <xr:revisionPtr revIDLastSave="0" documentId="13_ncr:1_{F14ADFB5-48DC-4065-A1C4-02F8B9B143FF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MA_CLIENTES" sheetId="3" r:id="rId1"/>
    <sheet name="MA_ARTICULOS" sheetId="6" r:id="rId2"/>
    <sheet name="TX_LINEAS_PEDIDOS" sheetId="7" r:id="rId3"/>
    <sheet name="TX_TURNOS" sheetId="8" r:id="rId4"/>
    <sheet name="TX_STOCK_DIA" sheetId="13" r:id="rId5"/>
    <sheet name="TX_PLAN_PROD_DIA" sheetId="14" r:id="rId6"/>
  </sheets>
  <definedNames>
    <definedName name="_xlnm._FilterDatabase" localSheetId="1" hidden="1">MA_ARTICULOS!$A$1:$E$123</definedName>
    <definedName name="_xlnm._FilterDatabase" localSheetId="0" hidden="1">MA_CLIENTES!$A$1:$K$448</definedName>
    <definedName name="_xlnm._FilterDatabase" localSheetId="4" hidden="1">TX_STOCK_DIA!$A$1:$F$123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739" i="14" l="1"/>
  <c r="F738" i="14"/>
  <c r="F737" i="14"/>
  <c r="F736" i="14"/>
  <c r="F735" i="14"/>
  <c r="F734" i="14"/>
  <c r="F733" i="14"/>
  <c r="F732" i="14"/>
  <c r="F731" i="14"/>
  <c r="F730" i="14"/>
  <c r="F729" i="14"/>
  <c r="F728" i="14"/>
  <c r="F727" i="14"/>
  <c r="F726" i="14"/>
  <c r="F725" i="14"/>
  <c r="F724" i="14"/>
  <c r="F723" i="14"/>
  <c r="F722" i="14"/>
  <c r="F721" i="14"/>
  <c r="F720" i="14"/>
  <c r="F719" i="14"/>
  <c r="F718" i="14"/>
  <c r="F717" i="14"/>
  <c r="F716" i="14"/>
  <c r="F715" i="14"/>
  <c r="F714" i="14"/>
  <c r="F713" i="14"/>
  <c r="F712" i="14"/>
  <c r="F711" i="14"/>
  <c r="F710" i="14"/>
  <c r="F709" i="14"/>
  <c r="F708" i="14"/>
  <c r="F707" i="14"/>
  <c r="F706" i="14"/>
  <c r="F705" i="14"/>
  <c r="F704" i="14"/>
  <c r="F703" i="14"/>
  <c r="F702" i="14"/>
  <c r="F701" i="14"/>
  <c r="F700" i="14"/>
  <c r="F699" i="14"/>
  <c r="F698" i="14"/>
  <c r="F697" i="14"/>
  <c r="F696" i="14"/>
  <c r="F695" i="14"/>
  <c r="F694" i="14"/>
  <c r="F693" i="14"/>
  <c r="F692" i="14"/>
  <c r="F691" i="14"/>
  <c r="F690" i="14"/>
  <c r="F689" i="14"/>
  <c r="F688" i="14"/>
  <c r="F687" i="14"/>
  <c r="F686" i="14"/>
  <c r="F685" i="14"/>
  <c r="F684" i="14"/>
  <c r="F683" i="14"/>
  <c r="F682" i="14"/>
  <c r="F681" i="14"/>
  <c r="F680" i="14"/>
  <c r="F679" i="14"/>
  <c r="F678" i="14"/>
  <c r="F677" i="14"/>
  <c r="F676" i="14"/>
  <c r="F675" i="14"/>
  <c r="F674" i="14"/>
  <c r="F673" i="14"/>
  <c r="F672" i="14"/>
  <c r="F671" i="14"/>
  <c r="F670" i="14"/>
  <c r="F669" i="14"/>
  <c r="F668" i="14"/>
  <c r="F667" i="14"/>
  <c r="F666" i="14"/>
  <c r="F665" i="14"/>
  <c r="F664" i="14"/>
  <c r="F663" i="14"/>
  <c r="F662" i="14"/>
  <c r="F661" i="14"/>
  <c r="F660" i="14"/>
  <c r="F659" i="14"/>
  <c r="F658" i="14"/>
  <c r="F657" i="14"/>
  <c r="F656" i="14"/>
  <c r="F655" i="14"/>
  <c r="F654" i="14"/>
  <c r="F653" i="14"/>
  <c r="F652" i="14"/>
  <c r="F651" i="14"/>
  <c r="F650" i="14"/>
  <c r="F649" i="14"/>
  <c r="F648" i="14"/>
  <c r="F647" i="14"/>
  <c r="F646" i="14"/>
  <c r="F645" i="14"/>
  <c r="F644" i="14"/>
  <c r="F643" i="14"/>
  <c r="F642" i="14"/>
  <c r="F641" i="14"/>
  <c r="F640" i="14"/>
  <c r="F639" i="14"/>
  <c r="F638" i="14"/>
  <c r="F637" i="14"/>
  <c r="F636" i="14"/>
  <c r="F635" i="14"/>
  <c r="F634" i="14"/>
  <c r="F633" i="14"/>
  <c r="F632" i="14"/>
  <c r="F631" i="14"/>
  <c r="F630" i="14"/>
  <c r="F629" i="14"/>
  <c r="F628" i="14"/>
  <c r="F627" i="14"/>
  <c r="F626" i="14"/>
  <c r="F625" i="14"/>
  <c r="F624" i="14"/>
  <c r="F623" i="14"/>
  <c r="F622" i="14"/>
  <c r="F621" i="14"/>
  <c r="F620" i="14"/>
  <c r="F619" i="14"/>
  <c r="F618" i="14"/>
  <c r="F616" i="14"/>
  <c r="F615" i="14"/>
  <c r="F614" i="14"/>
  <c r="F613" i="14"/>
  <c r="F612" i="14"/>
  <c r="F611" i="14"/>
  <c r="F610" i="14"/>
  <c r="F609" i="14"/>
  <c r="F608" i="14"/>
  <c r="F607" i="14"/>
  <c r="F606" i="14"/>
  <c r="F605" i="14"/>
  <c r="F604" i="14"/>
  <c r="F603" i="14"/>
  <c r="F602" i="14"/>
  <c r="F601" i="14"/>
  <c r="F600" i="14"/>
  <c r="F599" i="14"/>
  <c r="F598" i="14"/>
  <c r="F597" i="14"/>
  <c r="F596" i="14"/>
  <c r="F595" i="14"/>
  <c r="F594" i="14"/>
  <c r="F593" i="14"/>
  <c r="F592" i="14"/>
  <c r="F591" i="14"/>
  <c r="F590" i="14"/>
  <c r="F589" i="14"/>
  <c r="F588" i="14"/>
  <c r="F587" i="14"/>
  <c r="F586" i="14"/>
  <c r="F585" i="14"/>
  <c r="F584" i="14"/>
  <c r="F583" i="14"/>
  <c r="F582" i="14"/>
  <c r="F581" i="14"/>
  <c r="F580" i="14"/>
  <c r="F579" i="14"/>
  <c r="F578" i="14"/>
  <c r="F577" i="14"/>
  <c r="F576" i="14"/>
  <c r="F575" i="14"/>
  <c r="F574" i="14"/>
  <c r="F573" i="14"/>
  <c r="F572" i="14"/>
  <c r="F571" i="14"/>
  <c r="F570" i="14"/>
  <c r="F569" i="14"/>
  <c r="F568" i="14"/>
  <c r="F567" i="14"/>
  <c r="F566" i="14"/>
  <c r="F565" i="14"/>
  <c r="F564" i="14"/>
  <c r="F563" i="14"/>
  <c r="F562" i="14"/>
  <c r="F561" i="14"/>
  <c r="F560" i="14"/>
  <c r="F559" i="14"/>
  <c r="F558" i="14"/>
  <c r="F557" i="14"/>
  <c r="F556" i="14"/>
  <c r="F555" i="14"/>
  <c r="F554" i="14"/>
  <c r="F553" i="14"/>
  <c r="F552" i="14"/>
  <c r="F551" i="14"/>
  <c r="F550" i="14"/>
  <c r="F549" i="14"/>
  <c r="F548" i="14"/>
  <c r="F547" i="14"/>
  <c r="F546" i="14"/>
  <c r="F545" i="14"/>
  <c r="F544" i="14"/>
  <c r="F543" i="14"/>
  <c r="F542" i="14"/>
  <c r="F541" i="14"/>
  <c r="F540" i="14"/>
  <c r="F539" i="14"/>
  <c r="F538" i="14"/>
  <c r="F537" i="14"/>
  <c r="F536" i="14"/>
  <c r="F535" i="14"/>
  <c r="F534" i="14"/>
  <c r="F533" i="14"/>
  <c r="F532" i="14"/>
  <c r="F531" i="14"/>
  <c r="F530" i="14"/>
  <c r="F529" i="14"/>
  <c r="F528" i="14"/>
  <c r="F527" i="14"/>
  <c r="F526" i="14"/>
  <c r="F525" i="14"/>
  <c r="F524" i="14"/>
  <c r="F523" i="14"/>
  <c r="F522" i="14"/>
  <c r="F521" i="14"/>
  <c r="F520" i="14"/>
  <c r="F519" i="14"/>
  <c r="F518" i="14"/>
  <c r="F517" i="14"/>
  <c r="F516" i="14"/>
  <c r="F515" i="14"/>
  <c r="F514" i="14"/>
  <c r="F513" i="14"/>
  <c r="F512" i="14"/>
  <c r="F511" i="14"/>
  <c r="F510" i="14"/>
  <c r="F509" i="14"/>
  <c r="F508" i="14"/>
  <c r="F507" i="14"/>
  <c r="F506" i="14"/>
  <c r="F505" i="14"/>
  <c r="F504" i="14"/>
  <c r="F503" i="14"/>
  <c r="F502" i="14"/>
  <c r="F501" i="14"/>
  <c r="F500" i="14"/>
  <c r="F499" i="14"/>
  <c r="F498" i="14"/>
  <c r="F497" i="14"/>
  <c r="F496" i="14"/>
  <c r="F495" i="14"/>
  <c r="F493" i="14"/>
  <c r="F492" i="14"/>
  <c r="F491" i="14"/>
  <c r="F490" i="14"/>
  <c r="F489" i="14"/>
  <c r="F488" i="14"/>
  <c r="F487" i="14"/>
  <c r="F486" i="14"/>
  <c r="F485" i="14"/>
  <c r="F484" i="14"/>
  <c r="F483" i="14"/>
  <c r="F482" i="14"/>
  <c r="F481" i="14"/>
  <c r="F480" i="14"/>
  <c r="F479" i="14"/>
  <c r="F478" i="14"/>
  <c r="F477" i="14"/>
  <c r="F476" i="14"/>
  <c r="F475" i="14"/>
  <c r="F474" i="14"/>
  <c r="F473" i="14"/>
  <c r="F472" i="14"/>
  <c r="F471" i="14"/>
  <c r="F470" i="14"/>
  <c r="F469" i="14"/>
  <c r="F468" i="14"/>
  <c r="F467" i="14"/>
  <c r="F466" i="14"/>
  <c r="F465" i="14"/>
  <c r="F464" i="14"/>
  <c r="F463" i="14"/>
  <c r="F462" i="14"/>
  <c r="F461" i="14"/>
  <c r="F460" i="14"/>
  <c r="F459" i="14"/>
  <c r="F458" i="14"/>
  <c r="F457" i="14"/>
  <c r="F456" i="14"/>
  <c r="F455" i="14"/>
  <c r="F454" i="14"/>
  <c r="F453" i="14"/>
  <c r="F452" i="14"/>
  <c r="F451" i="14"/>
  <c r="F450" i="14"/>
  <c r="F449" i="14"/>
  <c r="F448" i="14"/>
  <c r="F447" i="14"/>
  <c r="F446" i="14"/>
  <c r="F445" i="14"/>
  <c r="F444" i="14"/>
  <c r="F443" i="14"/>
  <c r="F442" i="14"/>
  <c r="F441" i="14"/>
  <c r="F440" i="14"/>
  <c r="F439" i="14"/>
  <c r="F438" i="14"/>
  <c r="F437" i="14"/>
  <c r="F436" i="14"/>
  <c r="F435" i="14"/>
  <c r="F434" i="14"/>
  <c r="F433" i="14"/>
  <c r="F432" i="14"/>
  <c r="F431" i="14"/>
  <c r="F430" i="14"/>
  <c r="F429" i="14"/>
  <c r="F428" i="14"/>
  <c r="F427" i="14"/>
  <c r="F426" i="14"/>
  <c r="F425" i="14"/>
  <c r="F424" i="14"/>
  <c r="F423" i="14"/>
  <c r="F422" i="14"/>
  <c r="F421" i="14"/>
  <c r="F420" i="14"/>
  <c r="F419" i="14"/>
  <c r="F418" i="14"/>
  <c r="F417" i="14"/>
  <c r="F416" i="14"/>
  <c r="F415" i="14"/>
  <c r="F414" i="14"/>
  <c r="F413" i="14"/>
  <c r="F412" i="14"/>
  <c r="F411" i="14"/>
  <c r="F410" i="14"/>
  <c r="F409" i="14"/>
  <c r="F408" i="14"/>
  <c r="F407" i="14"/>
  <c r="F406" i="14"/>
  <c r="F405" i="14"/>
  <c r="F404" i="14"/>
  <c r="F403" i="14"/>
  <c r="F402" i="14"/>
  <c r="F401" i="14"/>
  <c r="F400" i="14"/>
  <c r="F399" i="14"/>
  <c r="F398" i="14"/>
  <c r="F397" i="14"/>
  <c r="F396" i="14"/>
  <c r="F395" i="14"/>
  <c r="F394" i="14"/>
  <c r="F393" i="14"/>
  <c r="F392" i="14"/>
  <c r="F391" i="14"/>
  <c r="F390" i="14"/>
  <c r="F389" i="14"/>
  <c r="F388" i="14"/>
  <c r="F387" i="14"/>
  <c r="F386" i="14"/>
  <c r="F385" i="14"/>
  <c r="F384" i="14"/>
  <c r="F383" i="14"/>
  <c r="F382" i="14"/>
  <c r="F381" i="14"/>
  <c r="F380" i="14"/>
  <c r="F379" i="14"/>
  <c r="F378" i="14"/>
  <c r="F377" i="14"/>
  <c r="F376" i="14"/>
  <c r="F375" i="14"/>
  <c r="F374" i="14"/>
  <c r="F373" i="14"/>
  <c r="F372" i="14"/>
  <c r="F370" i="14"/>
  <c r="F369" i="14"/>
  <c r="F368" i="14"/>
  <c r="F367" i="14"/>
  <c r="F366" i="14"/>
  <c r="F365" i="14"/>
  <c r="F364" i="14"/>
  <c r="F363" i="14"/>
  <c r="F362" i="14"/>
  <c r="F361" i="14"/>
  <c r="F360" i="14"/>
  <c r="F359" i="14"/>
  <c r="F358" i="14"/>
  <c r="F357" i="14"/>
  <c r="F356" i="14"/>
  <c r="F355" i="14"/>
  <c r="F354" i="14"/>
  <c r="F353" i="14"/>
  <c r="F352" i="14"/>
  <c r="F351" i="14"/>
  <c r="F350" i="14"/>
  <c r="F349" i="14"/>
  <c r="F348" i="14"/>
  <c r="F347" i="14"/>
  <c r="F346" i="14"/>
  <c r="F345" i="14"/>
  <c r="F344" i="14"/>
  <c r="F343" i="14"/>
  <c r="F342" i="14"/>
  <c r="F341" i="14"/>
  <c r="F340" i="14"/>
  <c r="F339" i="14"/>
  <c r="F338" i="14"/>
  <c r="F337" i="14"/>
  <c r="F336" i="14"/>
  <c r="F335" i="14"/>
  <c r="F334" i="14"/>
  <c r="F333" i="14"/>
  <c r="F332" i="14"/>
  <c r="F331" i="14"/>
  <c r="F330" i="14"/>
  <c r="F329" i="14"/>
  <c r="F328" i="14"/>
  <c r="F327" i="14"/>
  <c r="F326" i="14"/>
  <c r="F325" i="14"/>
  <c r="F324" i="14"/>
  <c r="F323" i="14"/>
  <c r="F322" i="14"/>
  <c r="F321" i="14"/>
  <c r="F320" i="14"/>
  <c r="F319" i="14"/>
  <c r="F318" i="14"/>
  <c r="F317" i="14"/>
  <c r="F316" i="14"/>
  <c r="F315" i="14"/>
  <c r="F314" i="14"/>
  <c r="F313" i="14"/>
  <c r="F312" i="14"/>
  <c r="F311" i="14"/>
  <c r="F310" i="14"/>
  <c r="F309" i="14"/>
  <c r="F308" i="14"/>
  <c r="F307" i="14"/>
  <c r="F306" i="14"/>
  <c r="F305" i="14"/>
  <c r="F304" i="14"/>
  <c r="F303" i="14"/>
  <c r="F302" i="14"/>
  <c r="F301" i="14"/>
  <c r="F300" i="14"/>
  <c r="F299" i="14"/>
  <c r="F298" i="14"/>
  <c r="F297" i="14"/>
  <c r="F296" i="14"/>
  <c r="F295" i="14"/>
  <c r="F294" i="14"/>
  <c r="F293" i="14"/>
  <c r="F292" i="14"/>
  <c r="F291" i="14"/>
  <c r="F290" i="14"/>
  <c r="F289" i="14"/>
  <c r="F288" i="14"/>
  <c r="F287" i="14"/>
  <c r="F286" i="14"/>
  <c r="F285" i="14"/>
  <c r="F284" i="14"/>
  <c r="F283" i="14"/>
  <c r="F282" i="14"/>
  <c r="F281" i="14"/>
  <c r="F280" i="14"/>
  <c r="F279" i="14"/>
  <c r="F278" i="14"/>
  <c r="F277" i="14"/>
  <c r="F276" i="14"/>
  <c r="F275" i="14"/>
  <c r="F274" i="14"/>
  <c r="F273" i="14"/>
  <c r="F272" i="14"/>
  <c r="F271" i="14"/>
  <c r="F270" i="14"/>
  <c r="F269" i="14"/>
  <c r="F268" i="14"/>
  <c r="F267" i="14"/>
  <c r="F266" i="14"/>
  <c r="F265" i="14"/>
  <c r="F264" i="14"/>
  <c r="F263" i="14"/>
  <c r="F262" i="14"/>
  <c r="F261" i="14"/>
  <c r="F260" i="14"/>
  <c r="F259" i="14"/>
  <c r="F258" i="14"/>
  <c r="F257" i="14"/>
  <c r="F256" i="14"/>
  <c r="F255" i="14"/>
  <c r="F254" i="14"/>
  <c r="F253" i="14"/>
  <c r="F252" i="14"/>
  <c r="F251" i="14"/>
  <c r="F250" i="14"/>
  <c r="F249" i="14"/>
  <c r="F247" i="14"/>
  <c r="F246" i="14"/>
  <c r="F245" i="14"/>
  <c r="F244" i="14"/>
  <c r="F243" i="14"/>
  <c r="F242" i="14"/>
  <c r="F241" i="14"/>
  <c r="F240" i="14"/>
  <c r="F239" i="14"/>
  <c r="F238" i="14"/>
  <c r="F237" i="14"/>
  <c r="F236" i="14"/>
  <c r="F235" i="14"/>
  <c r="F234" i="14"/>
  <c r="F233" i="14"/>
  <c r="F232" i="14"/>
  <c r="F231" i="14"/>
  <c r="F230" i="14"/>
  <c r="F229" i="14"/>
  <c r="F228" i="14"/>
  <c r="F227" i="14"/>
  <c r="F226" i="14"/>
  <c r="F225" i="14"/>
  <c r="F224" i="14"/>
  <c r="F223" i="14"/>
  <c r="F222" i="14"/>
  <c r="F221" i="14"/>
  <c r="F220" i="14"/>
  <c r="F219" i="14"/>
  <c r="F218" i="14"/>
  <c r="F217" i="14"/>
  <c r="F216" i="14"/>
  <c r="F215" i="14"/>
  <c r="F214" i="14"/>
  <c r="F213" i="14"/>
  <c r="F212" i="14"/>
  <c r="F211" i="14"/>
  <c r="F210" i="14"/>
  <c r="F209" i="14"/>
  <c r="F208" i="14"/>
  <c r="F207" i="14"/>
  <c r="F206" i="14"/>
  <c r="F205" i="14"/>
  <c r="F204" i="14"/>
  <c r="F203" i="14"/>
  <c r="F202" i="14"/>
  <c r="F201" i="14"/>
  <c r="F200" i="14"/>
  <c r="F199" i="14"/>
  <c r="F198" i="14"/>
  <c r="F197" i="14"/>
  <c r="F196" i="14"/>
  <c r="F195" i="14"/>
  <c r="F194" i="14"/>
  <c r="F193" i="14"/>
  <c r="F192" i="14"/>
  <c r="F191" i="14"/>
  <c r="F190" i="14"/>
  <c r="F189" i="14"/>
  <c r="F188" i="14"/>
  <c r="F187" i="14"/>
  <c r="F186" i="14"/>
  <c r="F185" i="14"/>
  <c r="F184" i="14"/>
  <c r="F183" i="14"/>
  <c r="F182" i="14"/>
  <c r="F181" i="14"/>
  <c r="F180" i="14"/>
  <c r="F179" i="14"/>
  <c r="F178" i="14"/>
  <c r="F177" i="14"/>
  <c r="F176" i="14"/>
  <c r="F175" i="14"/>
  <c r="F174" i="14"/>
  <c r="F173" i="14"/>
  <c r="F172" i="14"/>
  <c r="F171" i="14"/>
  <c r="F170" i="14"/>
  <c r="F169" i="14"/>
  <c r="F168" i="14"/>
  <c r="F167" i="14"/>
  <c r="F166" i="14"/>
  <c r="F165" i="14"/>
  <c r="F164" i="14"/>
  <c r="F163" i="14"/>
  <c r="F162" i="14"/>
  <c r="F161" i="14"/>
  <c r="F160" i="14"/>
  <c r="F159" i="14"/>
  <c r="F158" i="14"/>
  <c r="F157" i="14"/>
  <c r="F156" i="14"/>
  <c r="F155" i="14"/>
  <c r="F154" i="14"/>
  <c r="F153" i="14"/>
  <c r="F152" i="14"/>
  <c r="F151" i="14"/>
  <c r="F150" i="14"/>
  <c r="F149" i="14"/>
  <c r="F148" i="14"/>
  <c r="F147" i="14"/>
  <c r="F146" i="14"/>
  <c r="F145" i="14"/>
  <c r="F144" i="14"/>
  <c r="F143" i="14"/>
  <c r="F142" i="14"/>
  <c r="F141" i="14"/>
  <c r="F140" i="14"/>
  <c r="F139" i="14"/>
  <c r="F138" i="14"/>
  <c r="F137" i="14"/>
  <c r="F136" i="14"/>
  <c r="F135" i="14"/>
  <c r="F134" i="14"/>
  <c r="F133" i="14"/>
  <c r="F132" i="14"/>
  <c r="F131" i="14"/>
  <c r="F130" i="14"/>
  <c r="F129" i="14"/>
  <c r="F128" i="14"/>
  <c r="F127" i="14"/>
  <c r="F126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F739" i="13"/>
  <c r="D739" i="13"/>
  <c r="A739" i="13"/>
  <c r="F738" i="13"/>
  <c r="D738" i="13"/>
  <c r="A738" i="13"/>
  <c r="F737" i="13"/>
  <c r="D737" i="13"/>
  <c r="A737" i="13"/>
  <c r="F736" i="13"/>
  <c r="D736" i="13"/>
  <c r="A736" i="13"/>
  <c r="F735" i="13"/>
  <c r="D735" i="13"/>
  <c r="A735" i="13"/>
  <c r="F734" i="13"/>
  <c r="D734" i="13"/>
  <c r="A734" i="13"/>
  <c r="F733" i="13"/>
  <c r="D733" i="13"/>
  <c r="A733" i="13"/>
  <c r="F732" i="13"/>
  <c r="D732" i="13"/>
  <c r="A732" i="13"/>
  <c r="F731" i="13"/>
  <c r="D731" i="13"/>
  <c r="A731" i="13"/>
  <c r="F730" i="13"/>
  <c r="D730" i="13"/>
  <c r="A730" i="13"/>
  <c r="F729" i="13"/>
  <c r="D729" i="13"/>
  <c r="A729" i="13"/>
  <c r="F728" i="13"/>
  <c r="D728" i="13"/>
  <c r="A728" i="13"/>
  <c r="F727" i="13"/>
  <c r="D727" i="13"/>
  <c r="A727" i="13"/>
  <c r="F726" i="13"/>
  <c r="D726" i="13"/>
  <c r="A726" i="13"/>
  <c r="F725" i="13"/>
  <c r="D725" i="13"/>
  <c r="A725" i="13"/>
  <c r="F724" i="13"/>
  <c r="D724" i="13"/>
  <c r="A724" i="13"/>
  <c r="F723" i="13"/>
  <c r="D723" i="13"/>
  <c r="A723" i="13"/>
  <c r="F722" i="13"/>
  <c r="D722" i="13"/>
  <c r="A722" i="13"/>
  <c r="F721" i="13"/>
  <c r="D721" i="13"/>
  <c r="A721" i="13"/>
  <c r="F720" i="13"/>
  <c r="D720" i="13"/>
  <c r="A720" i="13"/>
  <c r="F719" i="13"/>
  <c r="D719" i="13"/>
  <c r="A719" i="13"/>
  <c r="F718" i="13"/>
  <c r="D718" i="13"/>
  <c r="A718" i="13"/>
  <c r="F717" i="13"/>
  <c r="D717" i="13"/>
  <c r="A717" i="13"/>
  <c r="F716" i="13"/>
  <c r="D716" i="13"/>
  <c r="A716" i="13"/>
  <c r="F715" i="13"/>
  <c r="D715" i="13"/>
  <c r="A715" i="13"/>
  <c r="F714" i="13"/>
  <c r="D714" i="13"/>
  <c r="A714" i="13"/>
  <c r="F713" i="13"/>
  <c r="D713" i="13"/>
  <c r="A713" i="13"/>
  <c r="F712" i="13"/>
  <c r="D712" i="13"/>
  <c r="A712" i="13"/>
  <c r="F711" i="13"/>
  <c r="D711" i="13"/>
  <c r="A711" i="13"/>
  <c r="F710" i="13"/>
  <c r="D710" i="13"/>
  <c r="A710" i="13"/>
  <c r="F709" i="13"/>
  <c r="D709" i="13"/>
  <c r="A709" i="13"/>
  <c r="F708" i="13"/>
  <c r="D708" i="13"/>
  <c r="A708" i="13"/>
  <c r="F707" i="13"/>
  <c r="D707" i="13"/>
  <c r="A707" i="13"/>
  <c r="F706" i="13"/>
  <c r="D706" i="13"/>
  <c r="A706" i="13"/>
  <c r="F705" i="13"/>
  <c r="D705" i="13"/>
  <c r="A705" i="13"/>
  <c r="F704" i="13"/>
  <c r="D704" i="13"/>
  <c r="A704" i="13"/>
  <c r="F703" i="13"/>
  <c r="D703" i="13"/>
  <c r="A703" i="13"/>
  <c r="F702" i="13"/>
  <c r="D702" i="13"/>
  <c r="A702" i="13"/>
  <c r="F701" i="13"/>
  <c r="D701" i="13"/>
  <c r="A701" i="13"/>
  <c r="F700" i="13"/>
  <c r="D700" i="13"/>
  <c r="A700" i="13"/>
  <c r="F699" i="13"/>
  <c r="D699" i="13"/>
  <c r="A699" i="13"/>
  <c r="F698" i="13"/>
  <c r="D698" i="13"/>
  <c r="A698" i="13"/>
  <c r="F697" i="13"/>
  <c r="D697" i="13"/>
  <c r="A697" i="13"/>
  <c r="F696" i="13"/>
  <c r="D696" i="13"/>
  <c r="A696" i="13"/>
  <c r="F695" i="13"/>
  <c r="D695" i="13"/>
  <c r="A695" i="13"/>
  <c r="F694" i="13"/>
  <c r="D694" i="13"/>
  <c r="A694" i="13"/>
  <c r="F693" i="13"/>
  <c r="D693" i="13"/>
  <c r="A693" i="13"/>
  <c r="F692" i="13"/>
  <c r="D692" i="13"/>
  <c r="A692" i="13"/>
  <c r="F691" i="13"/>
  <c r="D691" i="13"/>
  <c r="A691" i="13"/>
  <c r="F690" i="13"/>
  <c r="D690" i="13"/>
  <c r="A690" i="13"/>
  <c r="F689" i="13"/>
  <c r="D689" i="13"/>
  <c r="A689" i="13"/>
  <c r="F688" i="13"/>
  <c r="D688" i="13"/>
  <c r="A688" i="13"/>
  <c r="F687" i="13"/>
  <c r="D687" i="13"/>
  <c r="A687" i="13"/>
  <c r="F686" i="13"/>
  <c r="D686" i="13"/>
  <c r="A686" i="13"/>
  <c r="F685" i="13"/>
  <c r="D685" i="13"/>
  <c r="A685" i="13"/>
  <c r="F684" i="13"/>
  <c r="D684" i="13"/>
  <c r="A684" i="13"/>
  <c r="F683" i="13"/>
  <c r="D683" i="13"/>
  <c r="A683" i="13"/>
  <c r="F682" i="13"/>
  <c r="D682" i="13"/>
  <c r="A682" i="13"/>
  <c r="F681" i="13"/>
  <c r="D681" i="13"/>
  <c r="A681" i="13"/>
  <c r="F680" i="13"/>
  <c r="D680" i="13"/>
  <c r="A680" i="13"/>
  <c r="F679" i="13"/>
  <c r="D679" i="13"/>
  <c r="A679" i="13"/>
  <c r="F678" i="13"/>
  <c r="D678" i="13"/>
  <c r="A678" i="13"/>
  <c r="F677" i="13"/>
  <c r="D677" i="13"/>
  <c r="A677" i="13"/>
  <c r="F676" i="13"/>
  <c r="D676" i="13"/>
  <c r="A676" i="13"/>
  <c r="F675" i="13"/>
  <c r="D675" i="13"/>
  <c r="A675" i="13"/>
  <c r="F674" i="13"/>
  <c r="D674" i="13"/>
  <c r="A674" i="13"/>
  <c r="F673" i="13"/>
  <c r="D673" i="13"/>
  <c r="A673" i="13"/>
  <c r="F672" i="13"/>
  <c r="D672" i="13"/>
  <c r="A672" i="13"/>
  <c r="F671" i="13"/>
  <c r="D671" i="13"/>
  <c r="A671" i="13"/>
  <c r="F670" i="13"/>
  <c r="D670" i="13"/>
  <c r="A670" i="13"/>
  <c r="F669" i="13"/>
  <c r="D669" i="13"/>
  <c r="A669" i="13"/>
  <c r="F668" i="13"/>
  <c r="D668" i="13"/>
  <c r="A668" i="13"/>
  <c r="F667" i="13"/>
  <c r="D667" i="13"/>
  <c r="A667" i="13"/>
  <c r="F666" i="13"/>
  <c r="D666" i="13"/>
  <c r="A666" i="13"/>
  <c r="F665" i="13"/>
  <c r="D665" i="13"/>
  <c r="A665" i="13"/>
  <c r="F664" i="13"/>
  <c r="D664" i="13"/>
  <c r="A664" i="13"/>
  <c r="F663" i="13"/>
  <c r="D663" i="13"/>
  <c r="A663" i="13"/>
  <c r="F662" i="13"/>
  <c r="D662" i="13"/>
  <c r="A662" i="13"/>
  <c r="F661" i="13"/>
  <c r="D661" i="13"/>
  <c r="A661" i="13"/>
  <c r="F660" i="13"/>
  <c r="D660" i="13"/>
  <c r="A660" i="13"/>
  <c r="F659" i="13"/>
  <c r="D659" i="13"/>
  <c r="A659" i="13"/>
  <c r="F658" i="13"/>
  <c r="D658" i="13"/>
  <c r="A658" i="13"/>
  <c r="F657" i="13"/>
  <c r="D657" i="13"/>
  <c r="A657" i="13"/>
  <c r="F656" i="13"/>
  <c r="D656" i="13"/>
  <c r="A656" i="13"/>
  <c r="F655" i="13"/>
  <c r="D655" i="13"/>
  <c r="A655" i="13"/>
  <c r="F654" i="13"/>
  <c r="D654" i="13"/>
  <c r="A654" i="13"/>
  <c r="F653" i="13"/>
  <c r="D653" i="13"/>
  <c r="A653" i="13"/>
  <c r="F652" i="13"/>
  <c r="D652" i="13"/>
  <c r="A652" i="13"/>
  <c r="F651" i="13"/>
  <c r="D651" i="13"/>
  <c r="A651" i="13"/>
  <c r="F650" i="13"/>
  <c r="D650" i="13"/>
  <c r="A650" i="13"/>
  <c r="F649" i="13"/>
  <c r="D649" i="13"/>
  <c r="A649" i="13"/>
  <c r="F648" i="13"/>
  <c r="D648" i="13"/>
  <c r="A648" i="13"/>
  <c r="F647" i="13"/>
  <c r="D647" i="13"/>
  <c r="A647" i="13"/>
  <c r="F646" i="13"/>
  <c r="D646" i="13"/>
  <c r="A646" i="13"/>
  <c r="F645" i="13"/>
  <c r="D645" i="13"/>
  <c r="A645" i="13"/>
  <c r="F644" i="13"/>
  <c r="D644" i="13"/>
  <c r="A644" i="13"/>
  <c r="F643" i="13"/>
  <c r="D643" i="13"/>
  <c r="A643" i="13"/>
  <c r="F642" i="13"/>
  <c r="D642" i="13"/>
  <c r="A642" i="13"/>
  <c r="F641" i="13"/>
  <c r="D641" i="13"/>
  <c r="A641" i="13"/>
  <c r="F640" i="13"/>
  <c r="D640" i="13"/>
  <c r="A640" i="13"/>
  <c r="F639" i="13"/>
  <c r="D639" i="13"/>
  <c r="A639" i="13"/>
  <c r="F638" i="13"/>
  <c r="D638" i="13"/>
  <c r="A638" i="13"/>
  <c r="F637" i="13"/>
  <c r="D637" i="13"/>
  <c r="A637" i="13"/>
  <c r="F636" i="13"/>
  <c r="D636" i="13"/>
  <c r="A636" i="13"/>
  <c r="F635" i="13"/>
  <c r="D635" i="13"/>
  <c r="A635" i="13"/>
  <c r="F634" i="13"/>
  <c r="D634" i="13"/>
  <c r="A634" i="13"/>
  <c r="F633" i="13"/>
  <c r="D633" i="13"/>
  <c r="A633" i="13"/>
  <c r="F632" i="13"/>
  <c r="D632" i="13"/>
  <c r="A632" i="13"/>
  <c r="F631" i="13"/>
  <c r="D631" i="13"/>
  <c r="A631" i="13"/>
  <c r="F630" i="13"/>
  <c r="D630" i="13"/>
  <c r="A630" i="13"/>
  <c r="F629" i="13"/>
  <c r="D629" i="13"/>
  <c r="A629" i="13"/>
  <c r="F628" i="13"/>
  <c r="D628" i="13"/>
  <c r="A628" i="13"/>
  <c r="F627" i="13"/>
  <c r="D627" i="13"/>
  <c r="A627" i="13"/>
  <c r="F626" i="13"/>
  <c r="D626" i="13"/>
  <c r="A626" i="13"/>
  <c r="F625" i="13"/>
  <c r="D625" i="13"/>
  <c r="A625" i="13"/>
  <c r="F624" i="13"/>
  <c r="D624" i="13"/>
  <c r="A624" i="13"/>
  <c r="F623" i="13"/>
  <c r="D623" i="13"/>
  <c r="A623" i="13"/>
  <c r="F622" i="13"/>
  <c r="D622" i="13"/>
  <c r="A622" i="13"/>
  <c r="F621" i="13"/>
  <c r="D621" i="13"/>
  <c r="A621" i="13"/>
  <c r="F620" i="13"/>
  <c r="D620" i="13"/>
  <c r="A620" i="13"/>
  <c r="F619" i="13"/>
  <c r="D619" i="13"/>
  <c r="A619" i="13"/>
  <c r="F618" i="13"/>
  <c r="D618" i="13"/>
  <c r="A618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F45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I6" i="8"/>
  <c r="I5" i="8"/>
  <c r="I4" i="8"/>
  <c r="I3" i="8"/>
  <c r="I2" i="8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F45" i="14" s="1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M6" i="8"/>
  <c r="M4" i="8" l="1"/>
  <c r="M5" i="8"/>
  <c r="M3" i="8"/>
  <c r="F26" i="14"/>
  <c r="F26" i="13"/>
  <c r="F38" i="14"/>
  <c r="F38" i="13"/>
  <c r="F50" i="14"/>
  <c r="F50" i="13"/>
  <c r="F62" i="14"/>
  <c r="F62" i="13"/>
  <c r="F74" i="14"/>
  <c r="F74" i="13"/>
  <c r="F86" i="14"/>
  <c r="F86" i="13"/>
  <c r="F98" i="14"/>
  <c r="F98" i="13"/>
  <c r="F110" i="14"/>
  <c r="F110" i="13"/>
  <c r="F122" i="14"/>
  <c r="F122" i="13"/>
  <c r="F99" i="14"/>
  <c r="F99" i="13"/>
  <c r="F4" i="14"/>
  <c r="F4" i="13"/>
  <c r="F16" i="14"/>
  <c r="F16" i="13"/>
  <c r="F28" i="14"/>
  <c r="F28" i="13"/>
  <c r="F40" i="14"/>
  <c r="F40" i="13"/>
  <c r="F52" i="14"/>
  <c r="F52" i="13"/>
  <c r="F64" i="14"/>
  <c r="F64" i="13"/>
  <c r="F76" i="14"/>
  <c r="F76" i="13"/>
  <c r="F88" i="14"/>
  <c r="F88" i="13"/>
  <c r="F100" i="14"/>
  <c r="F100" i="13"/>
  <c r="F112" i="14"/>
  <c r="F112" i="13"/>
  <c r="F124" i="14"/>
  <c r="F124" i="13"/>
  <c r="F15" i="14"/>
  <c r="F15" i="13"/>
  <c r="F39" i="14"/>
  <c r="F39" i="13"/>
  <c r="F75" i="14"/>
  <c r="F75" i="13"/>
  <c r="F123" i="14"/>
  <c r="F123" i="13"/>
  <c r="F14" i="13"/>
  <c r="F14" i="14"/>
  <c r="F3" i="13"/>
  <c r="F3" i="14"/>
  <c r="F27" i="14"/>
  <c r="F27" i="13"/>
  <c r="F51" i="14"/>
  <c r="F51" i="13"/>
  <c r="F63" i="14"/>
  <c r="F63" i="13"/>
  <c r="F87" i="14"/>
  <c r="F87" i="13"/>
  <c r="F111" i="14"/>
  <c r="F111" i="13"/>
  <c r="A370" i="14"/>
  <c r="A364" i="14"/>
  <c r="A358" i="14"/>
  <c r="A352" i="14"/>
  <c r="A346" i="14"/>
  <c r="A340" i="14"/>
  <c r="A334" i="14"/>
  <c r="A328" i="14"/>
  <c r="A322" i="14"/>
  <c r="A316" i="14"/>
  <c r="A310" i="14"/>
  <c r="A304" i="14"/>
  <c r="A298" i="14"/>
  <c r="A292" i="14"/>
  <c r="A286" i="14"/>
  <c r="A280" i="14"/>
  <c r="A274" i="14"/>
  <c r="A268" i="14"/>
  <c r="A262" i="14"/>
  <c r="A256" i="14"/>
  <c r="A250" i="14"/>
  <c r="A363" i="14"/>
  <c r="A350" i="14"/>
  <c r="A337" i="14"/>
  <c r="A324" i="14"/>
  <c r="A311" i="14"/>
  <c r="A291" i="14"/>
  <c r="A278" i="14"/>
  <c r="A265" i="14"/>
  <c r="A252" i="14"/>
  <c r="A369" i="14"/>
  <c r="A356" i="14"/>
  <c r="A343" i="14"/>
  <c r="A330" i="14"/>
  <c r="A317" i="14"/>
  <c r="A297" i="14"/>
  <c r="A284" i="14"/>
  <c r="A271" i="14"/>
  <c r="A258" i="14"/>
  <c r="A361" i="14"/>
  <c r="A348" i="14"/>
  <c r="A335" i="14"/>
  <c r="A315" i="14"/>
  <c r="A302" i="14"/>
  <c r="A289" i="14"/>
  <c r="A276" i="14"/>
  <c r="A263" i="14"/>
  <c r="A367" i="14"/>
  <c r="A354" i="14"/>
  <c r="A341" i="14"/>
  <c r="A321" i="14"/>
  <c r="A308" i="14"/>
  <c r="A295" i="14"/>
  <c r="A282" i="14"/>
  <c r="A269" i="14"/>
  <c r="A249" i="14"/>
  <c r="A351" i="14"/>
  <c r="A338" i="14"/>
  <c r="A325" i="14"/>
  <c r="A312" i="14"/>
  <c r="A299" i="14"/>
  <c r="A279" i="14"/>
  <c r="A266" i="14"/>
  <c r="A365" i="14"/>
  <c r="A357" i="14"/>
  <c r="A332" i="14"/>
  <c r="A307" i="14"/>
  <c r="A300" i="14"/>
  <c r="A275" i="14"/>
  <c r="A267" i="14"/>
  <c r="A259" i="14"/>
  <c r="A347" i="14"/>
  <c r="A339" i="14"/>
  <c r="A331" i="14"/>
  <c r="A323" i="14"/>
  <c r="A283" i="14"/>
  <c r="A251" i="14"/>
  <c r="A355" i="14"/>
  <c r="A314" i="14"/>
  <c r="A306" i="14"/>
  <c r="A290" i="14"/>
  <c r="A362" i="14"/>
  <c r="A273" i="14"/>
  <c r="A257" i="14"/>
  <c r="A353" i="14"/>
  <c r="A336" i="14"/>
  <c r="A320" i="14"/>
  <c r="A296" i="14"/>
  <c r="A288" i="14"/>
  <c r="A272" i="14"/>
  <c r="A366" i="14"/>
  <c r="A327" i="14"/>
  <c r="A318" i="14"/>
  <c r="A270" i="14"/>
  <c r="A345" i="14"/>
  <c r="A260" i="14"/>
  <c r="A326" i="14"/>
  <c r="A368" i="13"/>
  <c r="A364" i="13"/>
  <c r="A360" i="13"/>
  <c r="A356" i="13"/>
  <c r="A352" i="13"/>
  <c r="A348" i="13"/>
  <c r="A344" i="13"/>
  <c r="A340" i="13"/>
  <c r="A336" i="13"/>
  <c r="A332" i="13"/>
  <c r="A328" i="13"/>
  <c r="A324" i="13"/>
  <c r="A320" i="13"/>
  <c r="A316" i="13"/>
  <c r="A312" i="13"/>
  <c r="A308" i="13"/>
  <c r="A304" i="13"/>
  <c r="A300" i="13"/>
  <c r="A296" i="13"/>
  <c r="A292" i="13"/>
  <c r="A288" i="13"/>
  <c r="A284" i="13"/>
  <c r="A280" i="13"/>
  <c r="A276" i="13"/>
  <c r="A344" i="14"/>
  <c r="A287" i="14"/>
  <c r="A333" i="14"/>
  <c r="A305" i="14"/>
  <c r="A277" i="14"/>
  <c r="A342" i="14"/>
  <c r="A313" i="14"/>
  <c r="A294" i="14"/>
  <c r="A319" i="14"/>
  <c r="A301" i="14"/>
  <c r="A359" i="13"/>
  <c r="A346" i="13"/>
  <c r="A333" i="13"/>
  <c r="A311" i="13"/>
  <c r="A298" i="13"/>
  <c r="A285" i="13"/>
  <c r="A272" i="13"/>
  <c r="A268" i="13"/>
  <c r="A264" i="13"/>
  <c r="A260" i="13"/>
  <c r="A256" i="13"/>
  <c r="A252" i="13"/>
  <c r="A255" i="14"/>
  <c r="A264" i="14"/>
  <c r="A329" i="14"/>
  <c r="A285" i="14"/>
  <c r="A254" i="14"/>
  <c r="A359" i="14"/>
  <c r="A303" i="14"/>
  <c r="A355" i="13"/>
  <c r="A350" i="13"/>
  <c r="A331" i="13"/>
  <c r="A317" i="13"/>
  <c r="A293" i="13"/>
  <c r="A274" i="13"/>
  <c r="A261" i="13"/>
  <c r="A368" i="14"/>
  <c r="A367" i="13"/>
  <c r="A353" i="13"/>
  <c r="A334" i="13"/>
  <c r="A310" i="13"/>
  <c r="A291" i="13"/>
  <c r="A277" i="13"/>
  <c r="A259" i="13"/>
  <c r="A261" i="14"/>
  <c r="A360" i="14"/>
  <c r="A349" i="14"/>
  <c r="A370" i="13"/>
  <c r="A351" i="13"/>
  <c r="A327" i="13"/>
  <c r="A313" i="13"/>
  <c r="A294" i="13"/>
  <c r="A289" i="13"/>
  <c r="A266" i="13"/>
  <c r="A253" i="13"/>
  <c r="A293" i="14"/>
  <c r="A358" i="13"/>
  <c r="A345" i="13"/>
  <c r="A339" i="13"/>
  <c r="A326" i="13"/>
  <c r="A307" i="13"/>
  <c r="A301" i="13"/>
  <c r="A282" i="13"/>
  <c r="A258" i="13"/>
  <c r="A281" i="14"/>
  <c r="A319" i="13"/>
  <c r="A275" i="13"/>
  <c r="A269" i="13"/>
  <c r="A263" i="13"/>
  <c r="A363" i="13"/>
  <c r="A357" i="13"/>
  <c r="A338" i="13"/>
  <c r="A306" i="13"/>
  <c r="A287" i="13"/>
  <c r="A281" i="13"/>
  <c r="A257" i="13"/>
  <c r="A251" i="13"/>
  <c r="A369" i="13"/>
  <c r="A325" i="13"/>
  <c r="A362" i="13"/>
  <c r="A343" i="13"/>
  <c r="A337" i="13"/>
  <c r="A318" i="13"/>
  <c r="A305" i="13"/>
  <c r="A299" i="13"/>
  <c r="A286" i="13"/>
  <c r="A262" i="13"/>
  <c r="A250" i="13"/>
  <c r="A349" i="13"/>
  <c r="A330" i="13"/>
  <c r="A279" i="13"/>
  <c r="A273" i="13"/>
  <c r="A267" i="13"/>
  <c r="A253" i="14"/>
  <c r="A323" i="13"/>
  <c r="A255" i="13"/>
  <c r="A303" i="13"/>
  <c r="A365" i="13"/>
  <c r="A302" i="13"/>
  <c r="A361" i="13"/>
  <c r="A347" i="13"/>
  <c r="A271" i="13"/>
  <c r="A297" i="13"/>
  <c r="A283" i="13"/>
  <c r="A270" i="13"/>
  <c r="A254" i="13"/>
  <c r="A309" i="14"/>
  <c r="A342" i="13"/>
  <c r="A314" i="13"/>
  <c r="A341" i="13"/>
  <c r="A354" i="13"/>
  <c r="A278" i="13"/>
  <c r="A265" i="13"/>
  <c r="A335" i="13"/>
  <c r="A295" i="13"/>
  <c r="A329" i="13"/>
  <c r="A366" i="13"/>
  <c r="A322" i="13"/>
  <c r="A290" i="13"/>
  <c r="A249" i="13"/>
  <c r="A321" i="13"/>
  <c r="A315" i="13"/>
  <c r="A309" i="13"/>
  <c r="F31" i="14"/>
  <c r="F31" i="13"/>
  <c r="F43" i="14"/>
  <c r="F43" i="13"/>
  <c r="F67" i="14"/>
  <c r="F67" i="13"/>
  <c r="F79" i="14"/>
  <c r="F79" i="13"/>
  <c r="F103" i="14"/>
  <c r="F103" i="13"/>
  <c r="F115" i="14"/>
  <c r="F115" i="13"/>
  <c r="F8" i="14"/>
  <c r="F8" i="13"/>
  <c r="F32" i="14"/>
  <c r="F32" i="13"/>
  <c r="F44" i="14"/>
  <c r="F44" i="13"/>
  <c r="F56" i="14"/>
  <c r="F56" i="13"/>
  <c r="F68" i="14"/>
  <c r="F68" i="13"/>
  <c r="F92" i="13"/>
  <c r="F92" i="14"/>
  <c r="F104" i="14"/>
  <c r="F104" i="13"/>
  <c r="F116" i="14"/>
  <c r="F116" i="13"/>
  <c r="F5" i="14"/>
  <c r="F5" i="13"/>
  <c r="F17" i="14"/>
  <c r="F17" i="13"/>
  <c r="F29" i="14"/>
  <c r="F29" i="13"/>
  <c r="F41" i="14"/>
  <c r="F41" i="13"/>
  <c r="F53" i="14"/>
  <c r="F53" i="13"/>
  <c r="F65" i="14"/>
  <c r="F65" i="13"/>
  <c r="F77" i="14"/>
  <c r="F77" i="13"/>
  <c r="F89" i="14"/>
  <c r="F89" i="13"/>
  <c r="F101" i="14"/>
  <c r="F101" i="13"/>
  <c r="F113" i="13"/>
  <c r="F113" i="14"/>
  <c r="F7" i="14"/>
  <c r="F7" i="13"/>
  <c r="F19" i="14"/>
  <c r="F19" i="13"/>
  <c r="F55" i="14"/>
  <c r="F55" i="13"/>
  <c r="F91" i="14"/>
  <c r="F91" i="13"/>
  <c r="A489" i="14"/>
  <c r="A483" i="14"/>
  <c r="A477" i="14"/>
  <c r="A471" i="14"/>
  <c r="A465" i="14"/>
  <c r="A459" i="14"/>
  <c r="A453" i="14"/>
  <c r="A447" i="14"/>
  <c r="A441" i="14"/>
  <c r="A435" i="14"/>
  <c r="A429" i="14"/>
  <c r="A423" i="14"/>
  <c r="A417" i="14"/>
  <c r="A485" i="14"/>
  <c r="A472" i="14"/>
  <c r="A452" i="14"/>
  <c r="A439" i="14"/>
  <c r="A426" i="14"/>
  <c r="A413" i="14"/>
  <c r="A407" i="14"/>
  <c r="A401" i="14"/>
  <c r="A395" i="14"/>
  <c r="A389" i="14"/>
  <c r="A383" i="14"/>
  <c r="A377" i="14"/>
  <c r="A478" i="14"/>
  <c r="A464" i="14"/>
  <c r="A444" i="14"/>
  <c r="A437" i="14"/>
  <c r="A410" i="14"/>
  <c r="A397" i="14"/>
  <c r="A384" i="14"/>
  <c r="A491" i="14"/>
  <c r="A484" i="14"/>
  <c r="A470" i="14"/>
  <c r="A457" i="14"/>
  <c r="A450" i="14"/>
  <c r="A430" i="14"/>
  <c r="A416" i="14"/>
  <c r="A403" i="14"/>
  <c r="A390" i="14"/>
  <c r="A482" i="14"/>
  <c r="A462" i="14"/>
  <c r="A442" i="14"/>
  <c r="A428" i="14"/>
  <c r="A421" i="14"/>
  <c r="A408" i="14"/>
  <c r="A388" i="14"/>
  <c r="A375" i="14"/>
  <c r="A475" i="14"/>
  <c r="A468" i="14"/>
  <c r="A455" i="14"/>
  <c r="A448" i="14"/>
  <c r="A434" i="14"/>
  <c r="A414" i="14"/>
  <c r="A394" i="14"/>
  <c r="A381" i="14"/>
  <c r="A486" i="14"/>
  <c r="A479" i="14"/>
  <c r="A445" i="14"/>
  <c r="A438" i="14"/>
  <c r="A418" i="14"/>
  <c r="A411" i="14"/>
  <c r="A398" i="14"/>
  <c r="A385" i="14"/>
  <c r="A372" i="14"/>
  <c r="A490" i="14"/>
  <c r="A481" i="14"/>
  <c r="A473" i="14"/>
  <c r="A431" i="14"/>
  <c r="A374" i="14"/>
  <c r="A456" i="14"/>
  <c r="A422" i="14"/>
  <c r="A405" i="14"/>
  <c r="A480" i="14"/>
  <c r="A463" i="14"/>
  <c r="A380" i="14"/>
  <c r="A373" i="14"/>
  <c r="A493" i="13"/>
  <c r="A489" i="13"/>
  <c r="A485" i="13"/>
  <c r="A481" i="13"/>
  <c r="A477" i="13"/>
  <c r="A473" i="13"/>
  <c r="A469" i="13"/>
  <c r="A465" i="13"/>
  <c r="A461" i="13"/>
  <c r="A457" i="13"/>
  <c r="A453" i="13"/>
  <c r="A449" i="13"/>
  <c r="A445" i="13"/>
  <c r="A441" i="13"/>
  <c r="A437" i="13"/>
  <c r="A433" i="13"/>
  <c r="A429" i="13"/>
  <c r="A488" i="14"/>
  <c r="A446" i="14"/>
  <c r="A412" i="14"/>
  <c r="A404" i="14"/>
  <c r="A396" i="14"/>
  <c r="A454" i="14"/>
  <c r="A436" i="14"/>
  <c r="A420" i="14"/>
  <c r="A387" i="14"/>
  <c r="A379" i="14"/>
  <c r="A487" i="14"/>
  <c r="A469" i="14"/>
  <c r="A461" i="14"/>
  <c r="A419" i="14"/>
  <c r="A402" i="14"/>
  <c r="A386" i="14"/>
  <c r="A378" i="14"/>
  <c r="A474" i="14"/>
  <c r="A406" i="14"/>
  <c r="A425" i="14"/>
  <c r="A415" i="14"/>
  <c r="A376" i="14"/>
  <c r="A493" i="14"/>
  <c r="A443" i="14"/>
  <c r="A433" i="14"/>
  <c r="A480" i="13"/>
  <c r="A450" i="13"/>
  <c r="A426" i="13"/>
  <c r="A413" i="13"/>
  <c r="A409" i="13"/>
  <c r="A405" i="13"/>
  <c r="A401" i="13"/>
  <c r="A397" i="13"/>
  <c r="A393" i="13"/>
  <c r="A389" i="13"/>
  <c r="A385" i="13"/>
  <c r="A381" i="13"/>
  <c r="A377" i="13"/>
  <c r="A373" i="13"/>
  <c r="A424" i="14"/>
  <c r="A492" i="14"/>
  <c r="A451" i="14"/>
  <c r="A432" i="14"/>
  <c r="A393" i="14"/>
  <c r="A460" i="14"/>
  <c r="A440" i="14"/>
  <c r="A392" i="14"/>
  <c r="A382" i="14"/>
  <c r="A466" i="14"/>
  <c r="A427" i="14"/>
  <c r="A458" i="14"/>
  <c r="A391" i="14"/>
  <c r="A400" i="14"/>
  <c r="A492" i="13"/>
  <c r="A463" i="13"/>
  <c r="A458" i="13"/>
  <c r="A432" i="13"/>
  <c r="A422" i="13"/>
  <c r="A417" i="13"/>
  <c r="A408" i="13"/>
  <c r="A395" i="13"/>
  <c r="A382" i="13"/>
  <c r="A467" i="14"/>
  <c r="A476" i="14"/>
  <c r="A449" i="14"/>
  <c r="A488" i="13"/>
  <c r="A482" i="13"/>
  <c r="A446" i="13"/>
  <c r="A440" i="13"/>
  <c r="A394" i="13"/>
  <c r="A375" i="13"/>
  <c r="A475" i="13"/>
  <c r="A468" i="13"/>
  <c r="A451" i="13"/>
  <c r="A434" i="13"/>
  <c r="A423" i="13"/>
  <c r="A418" i="13"/>
  <c r="A403" i="13"/>
  <c r="A384" i="13"/>
  <c r="A455" i="13"/>
  <c r="A438" i="13"/>
  <c r="A421" i="13"/>
  <c r="A416" i="13"/>
  <c r="A411" i="13"/>
  <c r="A392" i="13"/>
  <c r="A378" i="13"/>
  <c r="A399" i="14"/>
  <c r="A491" i="13"/>
  <c r="A472" i="13"/>
  <c r="A466" i="13"/>
  <c r="A443" i="13"/>
  <c r="A464" i="13"/>
  <c r="A435" i="13"/>
  <c r="A419" i="13"/>
  <c r="A414" i="13"/>
  <c r="A390" i="13"/>
  <c r="A460" i="13"/>
  <c r="A400" i="13"/>
  <c r="A470" i="13"/>
  <c r="A459" i="13"/>
  <c r="A439" i="13"/>
  <c r="A430" i="13"/>
  <c r="A406" i="13"/>
  <c r="A399" i="13"/>
  <c r="A490" i="13"/>
  <c r="A479" i="13"/>
  <c r="A412" i="13"/>
  <c r="A398" i="13"/>
  <c r="A409" i="14"/>
  <c r="A478" i="13"/>
  <c r="A467" i="13"/>
  <c r="A448" i="13"/>
  <c r="A428" i="13"/>
  <c r="A420" i="13"/>
  <c r="A391" i="13"/>
  <c r="A447" i="13"/>
  <c r="A383" i="13"/>
  <c r="A376" i="13"/>
  <c r="A487" i="13"/>
  <c r="A456" i="13"/>
  <c r="A427" i="13"/>
  <c r="A404" i="13"/>
  <c r="A476" i="13"/>
  <c r="A436" i="13"/>
  <c r="A396" i="13"/>
  <c r="A484" i="13"/>
  <c r="A415" i="13"/>
  <c r="A380" i="13"/>
  <c r="A483" i="13"/>
  <c r="A454" i="13"/>
  <c r="A379" i="13"/>
  <c r="A474" i="13"/>
  <c r="A431" i="13"/>
  <c r="A452" i="13"/>
  <c r="A425" i="13"/>
  <c r="A374" i="13"/>
  <c r="A388" i="13"/>
  <c r="A424" i="13"/>
  <c r="A407" i="13"/>
  <c r="A486" i="13"/>
  <c r="A386" i="13"/>
  <c r="A471" i="13"/>
  <c r="A372" i="13"/>
  <c r="A410" i="13"/>
  <c r="A462" i="13"/>
  <c r="A402" i="13"/>
  <c r="A444" i="13"/>
  <c r="A442" i="13"/>
  <c r="A387" i="13"/>
  <c r="F20" i="14"/>
  <c r="F20" i="13"/>
  <c r="F80" i="13"/>
  <c r="F80" i="14"/>
  <c r="A243" i="14"/>
  <c r="A238" i="14"/>
  <c r="A232" i="14"/>
  <c r="A226" i="14"/>
  <c r="A220" i="14"/>
  <c r="A214" i="14"/>
  <c r="A208" i="14"/>
  <c r="A202" i="14"/>
  <c r="A196" i="14"/>
  <c r="A190" i="14"/>
  <c r="A184" i="14"/>
  <c r="A178" i="14"/>
  <c r="A172" i="14"/>
  <c r="A166" i="14"/>
  <c r="A160" i="14"/>
  <c r="A154" i="14"/>
  <c r="A148" i="14"/>
  <c r="A142" i="14"/>
  <c r="A136" i="14"/>
  <c r="A130" i="14"/>
  <c r="A244" i="14"/>
  <c r="A242" i="14"/>
  <c r="A236" i="14"/>
  <c r="A230" i="14"/>
  <c r="A224" i="14"/>
  <c r="A218" i="14"/>
  <c r="A212" i="14"/>
  <c r="A206" i="14"/>
  <c r="A200" i="14"/>
  <c r="A194" i="14"/>
  <c r="A188" i="14"/>
  <c r="A182" i="14"/>
  <c r="A176" i="14"/>
  <c r="A170" i="14"/>
  <c r="A164" i="14"/>
  <c r="A158" i="14"/>
  <c r="A152" i="14"/>
  <c r="A146" i="14"/>
  <c r="A140" i="14"/>
  <c r="A134" i="14"/>
  <c r="A128" i="14"/>
  <c r="A207" i="14"/>
  <c r="A171" i="14"/>
  <c r="A135" i="14"/>
  <c r="A235" i="14"/>
  <c r="A228" i="14"/>
  <c r="A221" i="14"/>
  <c r="A213" i="14"/>
  <c r="A177" i="14"/>
  <c r="A141" i="14"/>
  <c r="A241" i="14"/>
  <c r="A234" i="14"/>
  <c r="A227" i="14"/>
  <c r="A205" i="14"/>
  <c r="A198" i="14"/>
  <c r="A191" i="14"/>
  <c r="A169" i="14"/>
  <c r="A162" i="14"/>
  <c r="A155" i="14"/>
  <c r="A133" i="14"/>
  <c r="A126" i="14"/>
  <c r="A219" i="14"/>
  <c r="A183" i="14"/>
  <c r="A147" i="14"/>
  <c r="A247" i="14"/>
  <c r="A225" i="14"/>
  <c r="A189" i="14"/>
  <c r="A153" i="14"/>
  <c r="A233" i="14"/>
  <c r="A199" i="14"/>
  <c r="A223" i="14"/>
  <c r="A215" i="14"/>
  <c r="A240" i="14"/>
  <c r="A181" i="14"/>
  <c r="A165" i="14"/>
  <c r="A157" i="14"/>
  <c r="A149" i="14"/>
  <c r="A132" i="14"/>
  <c r="A231" i="14"/>
  <c r="A222" i="14"/>
  <c r="A239" i="14"/>
  <c r="A204" i="14"/>
  <c r="A180" i="14"/>
  <c r="A156" i="14"/>
  <c r="A139" i="14"/>
  <c r="A131" i="14"/>
  <c r="A209" i="14"/>
  <c r="A151" i="14"/>
  <c r="A127" i="14"/>
  <c r="A217" i="14"/>
  <c r="A173" i="14"/>
  <c r="A163" i="14"/>
  <c r="A144" i="14"/>
  <c r="A247" i="13"/>
  <c r="A243" i="13"/>
  <c r="A239" i="13"/>
  <c r="A235" i="13"/>
  <c r="A231" i="13"/>
  <c r="A227" i="13"/>
  <c r="A223" i="13"/>
  <c r="A219" i="13"/>
  <c r="A215" i="13"/>
  <c r="A237" i="14"/>
  <c r="A216" i="14"/>
  <c r="A197" i="14"/>
  <c r="A187" i="14"/>
  <c r="A161" i="14"/>
  <c r="A245" i="14"/>
  <c r="A195" i="14"/>
  <c r="A150" i="14"/>
  <c r="A203" i="14"/>
  <c r="A186" i="14"/>
  <c r="A168" i="14"/>
  <c r="A210" i="14"/>
  <c r="A192" i="14"/>
  <c r="A174" i="14"/>
  <c r="A137" i="14"/>
  <c r="A238" i="13"/>
  <c r="A225" i="13"/>
  <c r="A212" i="13"/>
  <c r="A208" i="13"/>
  <c r="A204" i="13"/>
  <c r="A200" i="13"/>
  <c r="A167" i="14"/>
  <c r="A145" i="14"/>
  <c r="A229" i="14"/>
  <c r="A185" i="14"/>
  <c r="A175" i="14"/>
  <c r="A143" i="14"/>
  <c r="A245" i="13"/>
  <c r="A232" i="13"/>
  <c r="A246" i="14"/>
  <c r="A201" i="14"/>
  <c r="A159" i="14"/>
  <c r="A138" i="14"/>
  <c r="A230" i="13"/>
  <c r="A217" i="13"/>
  <c r="A211" i="14"/>
  <c r="A228" i="13"/>
  <c r="A222" i="13"/>
  <c r="A216" i="13"/>
  <c r="A195" i="13"/>
  <c r="A129" i="14"/>
  <c r="A233" i="13"/>
  <c r="A210" i="13"/>
  <c r="A205" i="13"/>
  <c r="A186" i="13"/>
  <c r="A182" i="13"/>
  <c r="A178" i="13"/>
  <c r="A174" i="13"/>
  <c r="A170" i="13"/>
  <c r="A166" i="13"/>
  <c r="A162" i="13"/>
  <c r="A158" i="13"/>
  <c r="A154" i="13"/>
  <c r="A150" i="13"/>
  <c r="A146" i="13"/>
  <c r="A142" i="13"/>
  <c r="A138" i="13"/>
  <c r="A134" i="13"/>
  <c r="A130" i="13"/>
  <c r="A126" i="13"/>
  <c r="A221" i="13"/>
  <c r="A199" i="13"/>
  <c r="A190" i="13"/>
  <c r="A244" i="13"/>
  <c r="A194" i="13"/>
  <c r="A226" i="13"/>
  <c r="A220" i="13"/>
  <c r="A214" i="13"/>
  <c r="A209" i="13"/>
  <c r="A198" i="13"/>
  <c r="A185" i="13"/>
  <c r="A181" i="13"/>
  <c r="A177" i="13"/>
  <c r="A173" i="13"/>
  <c r="A169" i="13"/>
  <c r="A165" i="13"/>
  <c r="A161" i="13"/>
  <c r="A157" i="13"/>
  <c r="A153" i="13"/>
  <c r="A149" i="13"/>
  <c r="A145" i="13"/>
  <c r="A141" i="13"/>
  <c r="A137" i="13"/>
  <c r="A133" i="13"/>
  <c r="A129" i="13"/>
  <c r="A237" i="13"/>
  <c r="A203" i="13"/>
  <c r="A189" i="13"/>
  <c r="A242" i="13"/>
  <c r="A193" i="13"/>
  <c r="A202" i="13"/>
  <c r="A172" i="13"/>
  <c r="A164" i="13"/>
  <c r="A156" i="13"/>
  <c r="A148" i="13"/>
  <c r="A140" i="13"/>
  <c r="A132" i="13"/>
  <c r="A193" i="14"/>
  <c r="A229" i="13"/>
  <c r="A180" i="13"/>
  <c r="A213" i="13"/>
  <c r="A191" i="13"/>
  <c r="A179" i="14"/>
  <c r="A179" i="13"/>
  <c r="A240" i="13"/>
  <c r="A224" i="13"/>
  <c r="A197" i="13"/>
  <c r="A236" i="13"/>
  <c r="A211" i="13"/>
  <c r="A187" i="13"/>
  <c r="A176" i="13"/>
  <c r="A168" i="13"/>
  <c r="A160" i="13"/>
  <c r="A152" i="13"/>
  <c r="A144" i="13"/>
  <c r="A136" i="13"/>
  <c r="A128" i="13"/>
  <c r="A196" i="13"/>
  <c r="A206" i="13"/>
  <c r="A159" i="13"/>
  <c r="A139" i="13"/>
  <c r="A234" i="13"/>
  <c r="A201" i="13"/>
  <c r="A175" i="13"/>
  <c r="A155" i="13"/>
  <c r="A135" i="13"/>
  <c r="A171" i="13"/>
  <c r="A151" i="13"/>
  <c r="A192" i="13"/>
  <c r="A131" i="13"/>
  <c r="A218" i="13"/>
  <c r="A188" i="13"/>
  <c r="A167" i="13"/>
  <c r="A246" i="13"/>
  <c r="A207" i="13"/>
  <c r="A163" i="13"/>
  <c r="A143" i="13"/>
  <c r="A241" i="13"/>
  <c r="A183" i="13"/>
  <c r="A147" i="13"/>
  <c r="A127" i="13"/>
  <c r="A184" i="13"/>
  <c r="F6" i="14"/>
  <c r="F6" i="13"/>
  <c r="F18" i="14"/>
  <c r="F18" i="13"/>
  <c r="F30" i="14"/>
  <c r="F30" i="13"/>
  <c r="F42" i="14"/>
  <c r="F42" i="13"/>
  <c r="F54" i="14"/>
  <c r="F54" i="13"/>
  <c r="F66" i="14"/>
  <c r="F66" i="13"/>
  <c r="F78" i="14"/>
  <c r="F78" i="13"/>
  <c r="F90" i="14"/>
  <c r="F90" i="13"/>
  <c r="F102" i="14"/>
  <c r="F102" i="13"/>
  <c r="F114" i="14"/>
  <c r="F114" i="13"/>
  <c r="M2" i="8"/>
  <c r="F69" i="14"/>
  <c r="F69" i="13"/>
  <c r="F81" i="14"/>
  <c r="F81" i="13"/>
  <c r="F93" i="14"/>
  <c r="F93" i="13"/>
  <c r="F117" i="14"/>
  <c r="F117" i="13"/>
  <c r="F10" i="14"/>
  <c r="F10" i="13"/>
  <c r="F22" i="14"/>
  <c r="F22" i="13"/>
  <c r="F34" i="14"/>
  <c r="F34" i="13"/>
  <c r="F46" i="14"/>
  <c r="F46" i="13"/>
  <c r="F58" i="14"/>
  <c r="F58" i="13"/>
  <c r="F70" i="14"/>
  <c r="F70" i="13"/>
  <c r="F82" i="14"/>
  <c r="F82" i="13"/>
  <c r="F94" i="14"/>
  <c r="F94" i="13"/>
  <c r="F106" i="14"/>
  <c r="F106" i="13"/>
  <c r="F118" i="14"/>
  <c r="F118" i="13"/>
  <c r="A616" i="14"/>
  <c r="A610" i="14"/>
  <c r="A604" i="14"/>
  <c r="A598" i="14"/>
  <c r="A592" i="14"/>
  <c r="A586" i="14"/>
  <c r="A580" i="14"/>
  <c r="A574" i="14"/>
  <c r="A568" i="14"/>
  <c r="A562" i="14"/>
  <c r="A556" i="14"/>
  <c r="A550" i="14"/>
  <c r="A544" i="14"/>
  <c r="A538" i="14"/>
  <c r="A532" i="14"/>
  <c r="A526" i="14"/>
  <c r="A520" i="14"/>
  <c r="A514" i="14"/>
  <c r="A508" i="14"/>
  <c r="A502" i="14"/>
  <c r="A496" i="14"/>
  <c r="A597" i="14"/>
  <c r="A584" i="14"/>
  <c r="A571" i="14"/>
  <c r="A558" i="14"/>
  <c r="A545" i="14"/>
  <c r="A525" i="14"/>
  <c r="A512" i="14"/>
  <c r="A499" i="14"/>
  <c r="A608" i="14"/>
  <c r="A588" i="14"/>
  <c r="A581" i="14"/>
  <c r="A567" i="14"/>
  <c r="A547" i="14"/>
  <c r="A540" i="14"/>
  <c r="A527" i="14"/>
  <c r="A513" i="14"/>
  <c r="A506" i="14"/>
  <c r="A615" i="13"/>
  <c r="A611" i="13"/>
  <c r="A607" i="13"/>
  <c r="A603" i="13"/>
  <c r="A599" i="13"/>
  <c r="A595" i="13"/>
  <c r="A591" i="13"/>
  <c r="A587" i="13"/>
  <c r="A583" i="13"/>
  <c r="A579" i="13"/>
  <c r="A614" i="14"/>
  <c r="A601" i="14"/>
  <c r="A594" i="14"/>
  <c r="A560" i="14"/>
  <c r="A553" i="14"/>
  <c r="A533" i="14"/>
  <c r="A519" i="14"/>
  <c r="A606" i="14"/>
  <c r="A572" i="14"/>
  <c r="A565" i="14"/>
  <c r="A531" i="14"/>
  <c r="A524" i="14"/>
  <c r="A504" i="14"/>
  <c r="A497" i="14"/>
  <c r="A612" i="14"/>
  <c r="A599" i="14"/>
  <c r="A585" i="14"/>
  <c r="A578" i="14"/>
  <c r="A551" i="14"/>
  <c r="A537" i="14"/>
  <c r="A517" i="14"/>
  <c r="A510" i="14"/>
  <c r="A609" i="14"/>
  <c r="A589" i="14"/>
  <c r="A582" i="14"/>
  <c r="A548" i="14"/>
  <c r="A541" i="14"/>
  <c r="A528" i="14"/>
  <c r="A521" i="14"/>
  <c r="A507" i="14"/>
  <c r="A615" i="14"/>
  <c r="A598" i="13"/>
  <c r="A593" i="13"/>
  <c r="A590" i="14"/>
  <c r="A573" i="14"/>
  <c r="A557" i="14"/>
  <c r="A549" i="14"/>
  <c r="A523" i="14"/>
  <c r="A515" i="14"/>
  <c r="A498" i="14"/>
  <c r="A605" i="14"/>
  <c r="A564" i="14"/>
  <c r="A505" i="14"/>
  <c r="A602" i="13"/>
  <c r="A597" i="13"/>
  <c r="A578" i="13"/>
  <c r="A574" i="13"/>
  <c r="A570" i="13"/>
  <c r="A566" i="13"/>
  <c r="A562" i="13"/>
  <c r="A558" i="13"/>
  <c r="A554" i="13"/>
  <c r="A550" i="13"/>
  <c r="A546" i="13"/>
  <c r="A542" i="13"/>
  <c r="A538" i="13"/>
  <c r="A534" i="13"/>
  <c r="A530" i="13"/>
  <c r="A526" i="13"/>
  <c r="A522" i="13"/>
  <c r="A518" i="13"/>
  <c r="A514" i="13"/>
  <c r="A510" i="13"/>
  <c r="A506" i="13"/>
  <c r="A502" i="13"/>
  <c r="A498" i="13"/>
  <c r="A613" i="14"/>
  <c r="A596" i="14"/>
  <c r="A579" i="14"/>
  <c r="A539" i="14"/>
  <c r="A522" i="14"/>
  <c r="A563" i="14"/>
  <c r="A555" i="14"/>
  <c r="A530" i="14"/>
  <c r="A606" i="13"/>
  <c r="A601" i="13"/>
  <c r="A582" i="13"/>
  <c r="A603" i="14"/>
  <c r="A595" i="14"/>
  <c r="A587" i="14"/>
  <c r="A570" i="14"/>
  <c r="A546" i="14"/>
  <c r="A503" i="14"/>
  <c r="A495" i="14"/>
  <c r="A611" i="14"/>
  <c r="A577" i="14"/>
  <c r="A554" i="14"/>
  <c r="A529" i="14"/>
  <c r="A511" i="14"/>
  <c r="A610" i="13"/>
  <c r="A605" i="13"/>
  <c r="A586" i="13"/>
  <c r="A581" i="13"/>
  <c r="A552" i="14"/>
  <c r="A576" i="14"/>
  <c r="A536" i="14"/>
  <c r="A516" i="14"/>
  <c r="A566" i="14"/>
  <c r="A575" i="14"/>
  <c r="A535" i="14"/>
  <c r="A604" i="13"/>
  <c r="A543" i="14"/>
  <c r="A593" i="14"/>
  <c r="A583" i="14"/>
  <c r="A534" i="14"/>
  <c r="A602" i="14"/>
  <c r="A542" i="14"/>
  <c r="A501" i="14"/>
  <c r="A559" i="14"/>
  <c r="A561" i="14"/>
  <c r="A572" i="13"/>
  <c r="A609" i="13"/>
  <c r="A594" i="13"/>
  <c r="A565" i="13"/>
  <c r="A559" i="13"/>
  <c r="A552" i="13"/>
  <c r="A545" i="13"/>
  <c r="A539" i="13"/>
  <c r="A532" i="13"/>
  <c r="A585" i="13"/>
  <c r="A591" i="14"/>
  <c r="A500" i="14"/>
  <c r="A600" i="14"/>
  <c r="A509" i="14"/>
  <c r="A607" i="14"/>
  <c r="A613" i="13"/>
  <c r="A563" i="13"/>
  <c r="A555" i="13"/>
  <c r="A524" i="13"/>
  <c r="A517" i="13"/>
  <c r="A503" i="13"/>
  <c r="A600" i="13"/>
  <c r="A571" i="13"/>
  <c r="A547" i="13"/>
  <c r="A531" i="13"/>
  <c r="A509" i="13"/>
  <c r="A569" i="14"/>
  <c r="A612" i="13"/>
  <c r="A590" i="13"/>
  <c r="A580" i="13"/>
  <c r="A537" i="13"/>
  <c r="A516" i="13"/>
  <c r="A608" i="13"/>
  <c r="A588" i="13"/>
  <c r="A568" i="13"/>
  <c r="A560" i="13"/>
  <c r="A551" i="13"/>
  <c r="A521" i="13"/>
  <c r="A500" i="13"/>
  <c r="A518" i="14"/>
  <c r="A576" i="13"/>
  <c r="A543" i="13"/>
  <c r="A528" i="13"/>
  <c r="A507" i="13"/>
  <c r="A614" i="13"/>
  <c r="A564" i="13"/>
  <c r="A548" i="13"/>
  <c r="A525" i="13"/>
  <c r="A504" i="13"/>
  <c r="A535" i="13"/>
  <c r="A520" i="13"/>
  <c r="A567" i="13"/>
  <c r="A549" i="13"/>
  <c r="A505" i="13"/>
  <c r="A584" i="13"/>
  <c r="A533" i="13"/>
  <c r="A519" i="13"/>
  <c r="A561" i="13"/>
  <c r="A544" i="13"/>
  <c r="A501" i="13"/>
  <c r="A577" i="13"/>
  <c r="A529" i="13"/>
  <c r="A515" i="13"/>
  <c r="A616" i="13"/>
  <c r="A596" i="13"/>
  <c r="A557" i="13"/>
  <c r="A513" i="13"/>
  <c r="A499" i="13"/>
  <c r="A553" i="13"/>
  <c r="A512" i="13"/>
  <c r="A592" i="13"/>
  <c r="A541" i="13"/>
  <c r="A508" i="13"/>
  <c r="A575" i="13"/>
  <c r="A540" i="13"/>
  <c r="A573" i="13"/>
  <c r="A536" i="13"/>
  <c r="A497" i="13"/>
  <c r="A556" i="13"/>
  <c r="A527" i="13"/>
  <c r="A523" i="13"/>
  <c r="A496" i="13"/>
  <c r="A589" i="13"/>
  <c r="A495" i="13"/>
  <c r="A569" i="13"/>
  <c r="A511" i="13"/>
  <c r="F9" i="14"/>
  <c r="F9" i="13"/>
  <c r="F21" i="14"/>
  <c r="F21" i="13"/>
  <c r="F33" i="14"/>
  <c r="F33" i="13"/>
  <c r="F57" i="14"/>
  <c r="F57" i="13"/>
  <c r="F105" i="14"/>
  <c r="F105" i="13"/>
  <c r="F11" i="14"/>
  <c r="F11" i="13"/>
  <c r="F23" i="14"/>
  <c r="F23" i="13"/>
  <c r="F35" i="14"/>
  <c r="F35" i="13"/>
  <c r="F47" i="14"/>
  <c r="F47" i="13"/>
  <c r="F59" i="14"/>
  <c r="F59" i="13"/>
  <c r="F71" i="14"/>
  <c r="F71" i="13"/>
  <c r="F83" i="14"/>
  <c r="F83" i="13"/>
  <c r="F95" i="14"/>
  <c r="F95" i="13"/>
  <c r="F107" i="14"/>
  <c r="F107" i="13"/>
  <c r="F119" i="13"/>
  <c r="F119" i="14"/>
  <c r="F12" i="14"/>
  <c r="F12" i="13"/>
  <c r="F24" i="14"/>
  <c r="F24" i="13"/>
  <c r="F36" i="14"/>
  <c r="F36" i="13"/>
  <c r="F48" i="14"/>
  <c r="F48" i="13"/>
  <c r="F60" i="14"/>
  <c r="F60" i="13"/>
  <c r="F72" i="14"/>
  <c r="F72" i="13"/>
  <c r="F84" i="14"/>
  <c r="F84" i="13"/>
  <c r="F96" i="14"/>
  <c r="F96" i="13"/>
  <c r="F108" i="14"/>
  <c r="F108" i="13"/>
  <c r="F120" i="14"/>
  <c r="F120" i="13"/>
  <c r="F13" i="14"/>
  <c r="F13" i="13"/>
  <c r="F25" i="13"/>
  <c r="F25" i="14"/>
  <c r="F37" i="14"/>
  <c r="F37" i="13"/>
  <c r="F49" i="14"/>
  <c r="F49" i="13"/>
  <c r="F61" i="14"/>
  <c r="F61" i="13"/>
  <c r="F73" i="14"/>
  <c r="F73" i="13"/>
  <c r="F85" i="14"/>
  <c r="F85" i="13"/>
  <c r="F97" i="14"/>
  <c r="F97" i="13"/>
  <c r="F109" i="14"/>
  <c r="F109" i="13"/>
  <c r="F121" i="14"/>
  <c r="F121" i="13"/>
  <c r="G2" i="8" l="1"/>
  <c r="G6" i="8"/>
  <c r="G4" i="8"/>
  <c r="G5" i="8"/>
  <c r="G3" i="8"/>
  <c r="D195" i="13"/>
  <c r="F195" i="13" s="1"/>
  <c r="D211" i="13" l="1"/>
  <c r="F211" i="13" s="1"/>
  <c r="D179" i="13"/>
  <c r="F179" i="13" s="1"/>
  <c r="D167" i="13"/>
  <c r="F167" i="13" s="1"/>
  <c r="D160" i="13"/>
  <c r="F160" i="13" s="1"/>
  <c r="D162" i="13"/>
  <c r="F162" i="13" s="1"/>
  <c r="D127" i="13"/>
  <c r="F127" i="13" s="1"/>
  <c r="D156" i="13"/>
  <c r="F156" i="13" s="1"/>
  <c r="D234" i="13"/>
  <c r="F234" i="13" s="1"/>
  <c r="D130" i="13"/>
  <c r="F130" i="13" s="1"/>
  <c r="D191" i="13"/>
  <c r="F191" i="13" s="1"/>
  <c r="D135" i="13"/>
  <c r="F135" i="13" s="1"/>
  <c r="D201" i="13"/>
  <c r="F201" i="13" s="1"/>
  <c r="D215" i="13"/>
  <c r="F215" i="13" s="1"/>
  <c r="D131" i="13"/>
  <c r="F131" i="13" s="1"/>
  <c r="D171" i="13"/>
  <c r="F171" i="13" s="1"/>
  <c r="D240" i="13"/>
  <c r="F240" i="13" s="1"/>
  <c r="D230" i="13"/>
  <c r="F230" i="13" s="1"/>
  <c r="D197" i="13"/>
  <c r="F197" i="13" s="1"/>
  <c r="D132" i="13"/>
  <c r="F132" i="13" s="1"/>
  <c r="D134" i="13"/>
  <c r="F134" i="13" s="1"/>
  <c r="D129" i="13"/>
  <c r="F129" i="13" s="1"/>
  <c r="D220" i="13"/>
  <c r="F220" i="13" s="1"/>
  <c r="D180" i="13"/>
  <c r="F180" i="13" s="1"/>
  <c r="D146" i="13"/>
  <c r="F146" i="13" s="1"/>
  <c r="D210" i="13"/>
  <c r="F210" i="13" s="1"/>
  <c r="D192" i="13"/>
  <c r="F192" i="13" s="1"/>
  <c r="D205" i="13"/>
  <c r="F205" i="13" s="1"/>
  <c r="D190" i="13"/>
  <c r="F190" i="13" s="1"/>
  <c r="D224" i="13"/>
  <c r="F224" i="13" s="1"/>
  <c r="D164" i="13"/>
  <c r="F164" i="13" s="1"/>
  <c r="D185" i="13"/>
  <c r="F185" i="13" s="1"/>
  <c r="D189" i="13"/>
  <c r="F189" i="13" s="1"/>
  <c r="D173" i="13"/>
  <c r="F173" i="13" s="1"/>
  <c r="D187" i="13"/>
  <c r="F187" i="13" s="1"/>
  <c r="D161" i="13"/>
  <c r="F161" i="13" s="1"/>
  <c r="D186" i="13"/>
  <c r="F186" i="13" s="1"/>
  <c r="D200" i="13"/>
  <c r="F200" i="13" s="1"/>
  <c r="D177" i="13"/>
  <c r="F177" i="13" s="1"/>
  <c r="D212" i="13"/>
  <c r="F212" i="13" s="1"/>
  <c r="D168" i="13"/>
  <c r="F168" i="13" s="1"/>
  <c r="D243" i="13"/>
  <c r="F243" i="13" s="1"/>
  <c r="D158" i="13"/>
  <c r="F158" i="13" s="1"/>
  <c r="D193" i="13"/>
  <c r="F193" i="13" s="1"/>
  <c r="D169" i="13"/>
  <c r="F169" i="13" s="1"/>
  <c r="D217" i="13"/>
  <c r="F217" i="13" s="1"/>
  <c r="D236" i="13"/>
  <c r="F236" i="13" s="1"/>
  <c r="D145" i="13"/>
  <c r="F145" i="13" s="1"/>
  <c r="D228" i="13"/>
  <c r="F228" i="13" s="1"/>
  <c r="D318" i="13"/>
  <c r="F318" i="13" s="1"/>
  <c r="D194" i="13"/>
  <c r="F194" i="13" s="1"/>
  <c r="D216" i="13"/>
  <c r="F216" i="13" s="1"/>
  <c r="D136" i="13"/>
  <c r="F136" i="13" s="1"/>
  <c r="D225" i="13"/>
  <c r="F225" i="13" s="1"/>
  <c r="D203" i="13" l="1"/>
  <c r="F203" i="13" s="1"/>
  <c r="D206" i="13"/>
  <c r="F206" i="13" s="1"/>
  <c r="D148" i="13"/>
  <c r="F148" i="13" s="1"/>
  <c r="D149" i="13"/>
  <c r="F149" i="13" s="1"/>
  <c r="D157" i="13"/>
  <c r="F157" i="13" s="1"/>
  <c r="D159" i="13"/>
  <c r="F159" i="13" s="1"/>
  <c r="D153" i="13"/>
  <c r="F153" i="13" s="1"/>
  <c r="D208" i="13"/>
  <c r="F208" i="13" s="1"/>
  <c r="D199" i="13"/>
  <c r="F199" i="13" s="1"/>
  <c r="D250" i="13"/>
  <c r="F250" i="13" s="1"/>
  <c r="D283" i="13"/>
  <c r="F283" i="13" s="1"/>
  <c r="D204" i="13"/>
  <c r="F204" i="13" s="1"/>
  <c r="D143" i="13"/>
  <c r="F143" i="13" s="1"/>
  <c r="D176" i="13"/>
  <c r="F176" i="13" s="1"/>
  <c r="D235" i="13"/>
  <c r="F235" i="13" s="1"/>
  <c r="D188" i="13"/>
  <c r="F188" i="13" s="1"/>
  <c r="D309" i="13"/>
  <c r="F309" i="13" s="1"/>
  <c r="D252" i="13"/>
  <c r="F252" i="13" s="1"/>
  <c r="D166" i="13"/>
  <c r="F166" i="13" s="1"/>
  <c r="D144" i="13"/>
  <c r="F144" i="13" s="1"/>
  <c r="D279" i="13"/>
  <c r="F279" i="13" s="1"/>
  <c r="D269" i="13"/>
  <c r="F269" i="13" s="1"/>
  <c r="D254" i="13"/>
  <c r="F254" i="13" s="1"/>
  <c r="D287" i="13"/>
  <c r="F287" i="13" s="1"/>
  <c r="D333" i="13"/>
  <c r="F333" i="13" s="1"/>
  <c r="D257" i="13"/>
  <c r="F257" i="13" s="1"/>
  <c r="D357" i="13"/>
  <c r="F357" i="13" s="1"/>
  <c r="D213" i="13"/>
  <c r="F213" i="13" s="1"/>
  <c r="D312" i="13"/>
  <c r="F312" i="13" s="1"/>
  <c r="D229" i="13"/>
  <c r="F229" i="13" s="1"/>
  <c r="D237" i="13"/>
  <c r="F237" i="13" s="1"/>
  <c r="D253" i="13"/>
  <c r="F253" i="13" s="1"/>
  <c r="D294" i="13"/>
  <c r="F294" i="13" s="1"/>
  <c r="D219" i="13"/>
  <c r="F219" i="13" s="1"/>
  <c r="D324" i="13"/>
  <c r="F324" i="13" s="1"/>
  <c r="D303" i="13"/>
  <c r="F303" i="13" s="1"/>
  <c r="D209" i="13"/>
  <c r="F209" i="13" s="1"/>
  <c r="D242" i="13"/>
  <c r="F242" i="13" s="1"/>
  <c r="D255" i="13"/>
  <c r="F255" i="13" s="1"/>
  <c r="D284" i="13"/>
  <c r="F284" i="13" s="1"/>
  <c r="D313" i="13"/>
  <c r="F313" i="13" s="1"/>
  <c r="D241" i="13"/>
  <c r="F241" i="13" s="1"/>
  <c r="D320" i="13"/>
  <c r="F320" i="13" s="1"/>
  <c r="D238" i="13"/>
  <c r="F238" i="13" s="1"/>
  <c r="D315" i="13"/>
  <c r="F315" i="13" s="1"/>
  <c r="D172" i="13"/>
  <c r="F172" i="13" s="1"/>
  <c r="D141" i="13"/>
  <c r="F141" i="13" s="1"/>
  <c r="D175" i="13"/>
  <c r="F175" i="13" s="1"/>
  <c r="D282" i="13"/>
  <c r="F282" i="13" s="1"/>
  <c r="D231" i="13"/>
  <c r="F231" i="13" s="1"/>
  <c r="D292" i="13"/>
  <c r="F292" i="13" s="1"/>
  <c r="D232" i="13"/>
  <c r="F232" i="13" s="1"/>
  <c r="D300" i="13"/>
  <c r="F300" i="13" s="1"/>
  <c r="D196" i="13"/>
  <c r="F196" i="13" s="1"/>
  <c r="D151" i="13"/>
  <c r="F151" i="13" s="1"/>
  <c r="D133" i="13"/>
  <c r="F133" i="13" s="1"/>
  <c r="D137" i="13"/>
  <c r="F137" i="13" s="1"/>
  <c r="D334" i="13"/>
  <c r="F334" i="13" s="1"/>
  <c r="D365" i="13"/>
  <c r="F365" i="13" s="1"/>
  <c r="D291" i="13"/>
  <c r="F291" i="13" s="1"/>
  <c r="D359" i="13"/>
  <c r="F359" i="13" s="1"/>
  <c r="D340" i="13"/>
  <c r="F340" i="13" s="1"/>
  <c r="D247" i="13"/>
  <c r="F247" i="13" s="1"/>
  <c r="D285" i="13"/>
  <c r="F285" i="13" s="1"/>
  <c r="D142" i="13"/>
  <c r="F142" i="13" s="1"/>
  <c r="D364" i="13"/>
  <c r="F364" i="13" s="1"/>
  <c r="D150" i="13"/>
  <c r="F150" i="13" s="1"/>
  <c r="D332" i="13"/>
  <c r="F332" i="13" s="1"/>
  <c r="D280" i="13"/>
  <c r="F280" i="13" s="1"/>
  <c r="D223" i="13"/>
  <c r="F223" i="13" s="1"/>
  <c r="D139" i="13"/>
  <c r="F139" i="13" s="1"/>
  <c r="D182" i="13"/>
  <c r="F182" i="13" s="1"/>
  <c r="D335" i="13"/>
  <c r="F335" i="13" s="1"/>
  <c r="D138" i="13"/>
  <c r="F138" i="13" s="1"/>
  <c r="D322" i="13"/>
  <c r="F322" i="13" s="1"/>
  <c r="D267" i="13"/>
  <c r="F267" i="13" s="1"/>
  <c r="D316" i="13"/>
  <c r="F316" i="13" s="1"/>
  <c r="D358" i="13"/>
  <c r="F358" i="13" s="1"/>
  <c r="D366" i="13"/>
  <c r="F366" i="13" s="1"/>
  <c r="D266" i="13"/>
  <c r="F266" i="13" s="1"/>
  <c r="D246" i="13"/>
  <c r="F246" i="13" s="1"/>
  <c r="D351" i="13"/>
  <c r="F351" i="13" s="1"/>
  <c r="D244" i="13"/>
  <c r="F244" i="13" s="1"/>
  <c r="D227" i="13"/>
  <c r="F227" i="13" s="1"/>
  <c r="D329" i="13"/>
  <c r="F329" i="13" s="1"/>
  <c r="D271" i="13"/>
  <c r="F271" i="13" s="1"/>
  <c r="D207" i="13"/>
  <c r="F207" i="13" s="1"/>
  <c r="D361" i="13"/>
  <c r="F361" i="13" s="1"/>
  <c r="D360" i="13"/>
  <c r="F360" i="13" s="1"/>
  <c r="D348" i="13"/>
  <c r="F348" i="13" s="1"/>
  <c r="D276" i="13"/>
  <c r="F276" i="13" s="1"/>
  <c r="D214" i="13"/>
  <c r="F214" i="13" s="1"/>
  <c r="D140" i="13"/>
  <c r="F140" i="13" s="1"/>
  <c r="D154" i="13"/>
  <c r="F154" i="13" s="1"/>
  <c r="D178" i="13"/>
  <c r="F178" i="13" s="1"/>
  <c r="D183" i="13"/>
  <c r="F183" i="13" s="1"/>
  <c r="D147" i="13"/>
  <c r="F147" i="13" s="1"/>
  <c r="D184" i="13"/>
  <c r="F184" i="13" s="1"/>
  <c r="D272" i="13"/>
  <c r="F272" i="13" s="1"/>
  <c r="D299" i="13"/>
  <c r="F299" i="13" s="1"/>
  <c r="D317" i="13"/>
  <c r="F317" i="13" s="1"/>
  <c r="D126" i="13"/>
  <c r="F126" i="13" s="1"/>
  <c r="D352" i="13"/>
  <c r="F352" i="13" s="1"/>
  <c r="D155" i="13"/>
  <c r="F155" i="13" s="1"/>
  <c r="D174" i="13"/>
  <c r="F174" i="13" s="1"/>
  <c r="D233" i="13"/>
  <c r="F233" i="13" s="1"/>
  <c r="D268" i="13"/>
  <c r="F268" i="13" s="1"/>
  <c r="D221" i="13"/>
  <c r="F221" i="13" s="1"/>
  <c r="D239" i="13"/>
  <c r="F239" i="13" s="1"/>
  <c r="D170" i="13"/>
  <c r="F170" i="13" s="1"/>
  <c r="D181" i="13"/>
  <c r="F181" i="13" s="1"/>
  <c r="D290" i="13"/>
  <c r="F290" i="13" s="1"/>
  <c r="D327" i="13"/>
  <c r="F327" i="13" s="1"/>
  <c r="D326" i="13"/>
  <c r="F326" i="13" s="1"/>
  <c r="D152" i="13"/>
  <c r="F152" i="13" s="1"/>
  <c r="D222" i="13"/>
  <c r="F222" i="13" s="1"/>
  <c r="D245" i="13"/>
  <c r="F245" i="13" s="1"/>
  <c r="D289" i="13"/>
  <c r="F289" i="13" s="1"/>
  <c r="D314" i="13"/>
  <c r="F314" i="13" s="1"/>
  <c r="D218" i="13"/>
  <c r="F218" i="13" s="1"/>
  <c r="D311" i="13"/>
  <c r="F311" i="13" s="1"/>
  <c r="D128" i="13"/>
  <c r="F128" i="13" s="1"/>
  <c r="D163" i="13"/>
  <c r="F163" i="13" s="1"/>
  <c r="D336" i="13"/>
  <c r="F336" i="13" s="1"/>
  <c r="D259" i="13"/>
  <c r="F259" i="13" s="1"/>
  <c r="D226" i="13"/>
  <c r="F226" i="13" s="1"/>
  <c r="D339" i="13"/>
  <c r="F339" i="13" s="1"/>
  <c r="D441" i="13"/>
  <c r="F441" i="13" s="1"/>
  <c r="D165" i="13"/>
  <c r="F165" i="13" s="1"/>
  <c r="D258" i="13"/>
  <c r="F258" i="13" s="1"/>
  <c r="D302" i="13"/>
  <c r="F302" i="13" s="1"/>
  <c r="D331" i="13"/>
  <c r="F331" i="13" s="1"/>
  <c r="D202" i="13"/>
  <c r="F202" i="13" s="1"/>
  <c r="D198" i="13"/>
  <c r="F198" i="13" s="1"/>
  <c r="D295" i="13"/>
  <c r="F295" i="13" s="1"/>
  <c r="D281" i="13"/>
  <c r="F281" i="13" s="1"/>
  <c r="D342" i="13"/>
  <c r="F342" i="13" s="1"/>
  <c r="D308" i="13" l="1"/>
  <c r="F308" i="13" s="1"/>
  <c r="D347" i="13"/>
  <c r="F347" i="13" s="1"/>
  <c r="D338" i="13"/>
  <c r="F338" i="13" s="1"/>
  <c r="D392" i="13"/>
  <c r="F392" i="13" s="1"/>
  <c r="D310" i="13"/>
  <c r="F310" i="13" s="1"/>
  <c r="D373" i="13"/>
  <c r="F373" i="13" s="1"/>
  <c r="D406" i="13"/>
  <c r="F406" i="13" s="1"/>
  <c r="D447" i="13"/>
  <c r="F447" i="13" s="1"/>
  <c r="D296" i="13"/>
  <c r="F296" i="13" s="1"/>
  <c r="D353" i="13"/>
  <c r="F353" i="13" s="1"/>
  <c r="D363" i="13"/>
  <c r="F363" i="13" s="1"/>
  <c r="D402" i="13"/>
  <c r="F402" i="13" s="1"/>
  <c r="D377" i="13"/>
  <c r="F377" i="13" s="1"/>
  <c r="D323" i="13"/>
  <c r="F323" i="13" s="1"/>
  <c r="D343" i="13"/>
  <c r="F343" i="13" s="1"/>
  <c r="D417" i="13"/>
  <c r="F417" i="13" s="1"/>
  <c r="D376" i="13"/>
  <c r="F376" i="13" s="1"/>
  <c r="D436" i="13"/>
  <c r="F436" i="13" s="1"/>
  <c r="D378" i="13"/>
  <c r="F378" i="13" s="1"/>
  <c r="D328" i="13"/>
  <c r="F328" i="13" s="1"/>
  <c r="D418" i="13"/>
  <c r="F418" i="13" s="1"/>
  <c r="D564" i="13"/>
  <c r="F564" i="13" s="1"/>
  <c r="D286" i="13"/>
  <c r="F286" i="13" s="1"/>
  <c r="D345" i="13"/>
  <c r="F345" i="13" s="1"/>
  <c r="D391" i="13"/>
  <c r="F391" i="13" s="1"/>
  <c r="D395" i="13"/>
  <c r="F395" i="13" s="1"/>
  <c r="D306" i="13"/>
  <c r="F306" i="13" s="1"/>
  <c r="D433" i="13"/>
  <c r="F433" i="13" s="1"/>
  <c r="D474" i="13"/>
  <c r="F474" i="13" s="1"/>
  <c r="D481" i="13"/>
  <c r="F481" i="13" s="1"/>
  <c r="D346" i="13"/>
  <c r="F346" i="13" s="1"/>
  <c r="D482" i="13"/>
  <c r="F482" i="13" s="1"/>
  <c r="D415" i="13"/>
  <c r="F415" i="13" s="1"/>
  <c r="D405" i="13"/>
  <c r="F405" i="13" s="1"/>
  <c r="D454" i="13"/>
  <c r="F454" i="13" s="1"/>
  <c r="D273" i="13"/>
  <c r="F273" i="13" s="1"/>
  <c r="D457" i="13"/>
  <c r="F457" i="13" s="1"/>
  <c r="D274" i="13"/>
  <c r="F274" i="13" s="1"/>
  <c r="D475" i="13"/>
  <c r="F475" i="13" s="1"/>
  <c r="D251" i="13"/>
  <c r="F251" i="13" s="1"/>
  <c r="D399" i="13"/>
  <c r="F399" i="13" s="1"/>
  <c r="D394" i="13"/>
  <c r="F394" i="13" s="1"/>
  <c r="D461" i="13"/>
  <c r="F461" i="13" s="1"/>
  <c r="D403" i="13"/>
  <c r="F403" i="13" s="1"/>
  <c r="D419" i="13"/>
  <c r="F419" i="13" s="1"/>
  <c r="D414" i="13"/>
  <c r="F414" i="13" s="1"/>
  <c r="D319" i="13"/>
  <c r="F319" i="13" s="1"/>
  <c r="D458" i="13"/>
  <c r="F458" i="13" s="1"/>
  <c r="D381" i="13"/>
  <c r="F381" i="13" s="1"/>
  <c r="D462" i="13"/>
  <c r="F462" i="13" s="1"/>
  <c r="D275" i="13"/>
  <c r="F275" i="13" s="1"/>
  <c r="D293" i="13"/>
  <c r="F293" i="13" s="1"/>
  <c r="D356" i="13"/>
  <c r="F356" i="13" s="1"/>
  <c r="D307" i="13"/>
  <c r="F307" i="13" s="1"/>
  <c r="D263" i="13"/>
  <c r="F263" i="13" s="1"/>
  <c r="D439" i="13"/>
  <c r="F439" i="13" s="1"/>
  <c r="D305" i="13"/>
  <c r="F305" i="13" s="1"/>
  <c r="D260" i="13"/>
  <c r="F260" i="13" s="1"/>
  <c r="D354" i="13"/>
  <c r="F354" i="13" s="1"/>
  <c r="D298" i="13"/>
  <c r="F298" i="13" s="1"/>
  <c r="D465" i="13"/>
  <c r="F465" i="13" s="1"/>
  <c r="D412" i="13"/>
  <c r="F412" i="13" s="1"/>
  <c r="D301" i="13"/>
  <c r="F301" i="13" s="1"/>
  <c r="D471" i="13"/>
  <c r="F471" i="13" s="1"/>
  <c r="D452" i="13"/>
  <c r="F452" i="13" s="1"/>
  <c r="D455" i="13"/>
  <c r="F455" i="13" s="1"/>
  <c r="D408" i="13"/>
  <c r="F408" i="13" s="1"/>
  <c r="D488" i="13"/>
  <c r="F488" i="13" s="1"/>
  <c r="D446" i="13"/>
  <c r="F446" i="13" s="1"/>
  <c r="D249" i="13"/>
  <c r="F249" i="13" s="1"/>
  <c r="D369" i="13"/>
  <c r="F369" i="13" s="1"/>
  <c r="D456" i="13"/>
  <c r="F456" i="13" s="1"/>
  <c r="D423" i="13"/>
  <c r="F423" i="13" s="1"/>
  <c r="D434" i="13"/>
  <c r="F434" i="13" s="1"/>
  <c r="D404" i="13"/>
  <c r="F404" i="13" s="1"/>
  <c r="D449" i="13"/>
  <c r="F449" i="13" s="1"/>
  <c r="D297" i="13"/>
  <c r="F297" i="13" s="1"/>
  <c r="D487" i="13"/>
  <c r="F487" i="13" s="1"/>
  <c r="D380" i="13"/>
  <c r="F380" i="13" s="1"/>
  <c r="D476" i="13"/>
  <c r="F476" i="13" s="1"/>
  <c r="D330" i="13"/>
  <c r="F330" i="13" s="1"/>
  <c r="D265" i="13"/>
  <c r="F265" i="13" s="1"/>
  <c r="D321" i="13"/>
  <c r="F321" i="13" s="1"/>
  <c r="D270" i="13"/>
  <c r="F270" i="13" s="1"/>
  <c r="D325" i="13"/>
  <c r="F325" i="13" s="1"/>
  <c r="D382" i="13"/>
  <c r="F382" i="13" s="1"/>
  <c r="D431" i="13"/>
  <c r="F431" i="13" s="1"/>
  <c r="D362" i="13"/>
  <c r="F362" i="13" s="1"/>
  <c r="D350" i="13"/>
  <c r="F350" i="13" s="1"/>
  <c r="D389" i="13"/>
  <c r="F389" i="13" s="1"/>
  <c r="D261" i="13"/>
  <c r="F261" i="13" s="1"/>
  <c r="D466" i="13"/>
  <c r="F466" i="13" s="1"/>
  <c r="D264" i="13"/>
  <c r="F264" i="13" s="1"/>
  <c r="D445" i="13"/>
  <c r="F445" i="13" s="1"/>
  <c r="D304" i="13"/>
  <c r="F304" i="13" s="1"/>
  <c r="D450" i="13"/>
  <c r="F450" i="13" s="1"/>
  <c r="D440" i="13"/>
  <c r="F440" i="13" s="1"/>
  <c r="D426" i="13"/>
  <c r="F426" i="13" s="1"/>
  <c r="D483" i="13"/>
  <c r="F483" i="13" s="1"/>
  <c r="D262" i="13"/>
  <c r="F262" i="13" s="1"/>
  <c r="D407" i="13"/>
  <c r="F407" i="13" s="1"/>
  <c r="D451" i="13"/>
  <c r="F451" i="13" s="1"/>
  <c r="D470" i="13"/>
  <c r="F470" i="13" s="1"/>
  <c r="D349" i="13"/>
  <c r="F349" i="13" s="1"/>
  <c r="D459" i="13"/>
  <c r="F459" i="13" s="1"/>
  <c r="D337" i="13"/>
  <c r="F337" i="13" s="1"/>
  <c r="D390" i="13"/>
  <c r="F390" i="13" s="1"/>
  <c r="D370" i="13"/>
  <c r="F370" i="13" s="1"/>
  <c r="D256" i="13"/>
  <c r="F256" i="13" s="1"/>
  <c r="D355" i="13"/>
  <c r="F355" i="13" s="1"/>
  <c r="D425" i="13"/>
  <c r="F425" i="13" s="1"/>
  <c r="D437" i="13"/>
  <c r="F437" i="13" s="1"/>
  <c r="D288" i="13"/>
  <c r="F288" i="13" s="1"/>
  <c r="D344" i="13"/>
  <c r="F344" i="13" s="1"/>
  <c r="D278" i="13"/>
  <c r="F278" i="13" s="1"/>
  <c r="D484" i="13"/>
  <c r="F484" i="13" s="1"/>
  <c r="D341" i="13"/>
  <c r="F341" i="13" s="1"/>
  <c r="D368" i="13"/>
  <c r="F368" i="13" s="1"/>
  <c r="D413" i="13"/>
  <c r="F413" i="13" s="1"/>
  <c r="D422" i="13"/>
  <c r="F422" i="13" s="1"/>
  <c r="D277" i="13"/>
  <c r="F277" i="13" s="1"/>
  <c r="D367" i="13"/>
  <c r="F367" i="13" s="1"/>
  <c r="D489" i="13"/>
  <c r="F489" i="13" s="1"/>
  <c r="D463" i="13"/>
  <c r="F463" i="13" s="1"/>
  <c r="D486" i="13"/>
  <c r="F486" i="13" s="1"/>
  <c r="D432" i="13" l="1"/>
  <c r="F432" i="13" s="1"/>
  <c r="D529" i="13"/>
  <c r="F529" i="13" s="1"/>
  <c r="D375" i="13"/>
  <c r="F375" i="13" s="1"/>
  <c r="D443" i="13"/>
  <c r="F443" i="13" s="1"/>
  <c r="D410" i="13"/>
  <c r="F410" i="13" s="1"/>
  <c r="D540" i="13"/>
  <c r="F540" i="13" s="1"/>
  <c r="D435" i="13"/>
  <c r="F435" i="13" s="1"/>
  <c r="D438" i="13"/>
  <c r="F438" i="13" s="1"/>
  <c r="D525" i="13"/>
  <c r="F525" i="13" s="1"/>
  <c r="D499" i="13"/>
  <c r="F499" i="13" s="1"/>
  <c r="D480" i="13"/>
  <c r="F480" i="13" s="1"/>
  <c r="D559" i="13"/>
  <c r="F559" i="13" s="1"/>
  <c r="D501" i="13"/>
  <c r="F501" i="13" s="1"/>
  <c r="D411" i="13"/>
  <c r="F411" i="13" s="1"/>
  <c r="D530" i="13"/>
  <c r="F530" i="13" s="1"/>
  <c r="D589" i="13"/>
  <c r="F589" i="13" s="1"/>
  <c r="D503" i="13"/>
  <c r="F503" i="13" s="1"/>
  <c r="D420" i="13"/>
  <c r="F420" i="13" s="1"/>
  <c r="D570" i="13"/>
  <c r="F570" i="13" s="1"/>
  <c r="D424" i="13"/>
  <c r="F424" i="13" s="1"/>
  <c r="D383" i="13"/>
  <c r="F383" i="13" s="1"/>
  <c r="D409" i="13"/>
  <c r="F409" i="13" s="1"/>
  <c r="D498" i="13"/>
  <c r="F498" i="13" s="1"/>
  <c r="D472" i="13"/>
  <c r="F472" i="13" s="1"/>
  <c r="D573" i="13"/>
  <c r="F573" i="13" s="1"/>
  <c r="D558" i="13"/>
  <c r="F558" i="13" s="1"/>
  <c r="D444" i="13"/>
  <c r="F444" i="13" s="1"/>
  <c r="D492" i="13"/>
  <c r="F492" i="13" s="1"/>
  <c r="D496" i="13"/>
  <c r="F496" i="13" s="1"/>
  <c r="D479" i="13"/>
  <c r="F479" i="13" s="1"/>
  <c r="D581" i="13"/>
  <c r="F581" i="13" s="1"/>
  <c r="D526" i="13"/>
  <c r="F526" i="13" s="1"/>
  <c r="D605" i="13"/>
  <c r="F605" i="13" s="1"/>
  <c r="D556" i="13"/>
  <c r="F556" i="13" s="1"/>
  <c r="D396" i="13"/>
  <c r="F396" i="13" s="1"/>
  <c r="D384" i="13"/>
  <c r="F384" i="13" s="1"/>
  <c r="D428" i="13"/>
  <c r="F428" i="13" s="1"/>
  <c r="D374" i="13"/>
  <c r="F374" i="13" s="1"/>
  <c r="D603" i="13"/>
  <c r="F603" i="13" s="1"/>
  <c r="D385" i="13"/>
  <c r="F385" i="13" s="1"/>
  <c r="D545" i="13"/>
  <c r="F545" i="13" s="1"/>
  <c r="D607" i="13"/>
  <c r="F607" i="13" s="1"/>
  <c r="D560" i="13"/>
  <c r="F560" i="13" s="1"/>
  <c r="D493" i="13"/>
  <c r="F493" i="13" s="1"/>
  <c r="D427" i="13"/>
  <c r="F427" i="13" s="1"/>
  <c r="D572" i="13"/>
  <c r="F572" i="13" s="1"/>
  <c r="D546" i="13"/>
  <c r="F546" i="13" s="1"/>
  <c r="D372" i="13"/>
  <c r="F372" i="13" s="1"/>
  <c r="D535" i="13"/>
  <c r="F535" i="13" s="1"/>
  <c r="D416" i="13"/>
  <c r="F416" i="13" s="1"/>
  <c r="D584" i="13"/>
  <c r="F584" i="13" s="1"/>
  <c r="D469" i="13"/>
  <c r="F469" i="13" s="1"/>
  <c r="D429" i="13"/>
  <c r="F429" i="13" s="1"/>
  <c r="D586" i="13"/>
  <c r="F586" i="13" s="1"/>
  <c r="D563" i="13"/>
  <c r="F563" i="13" s="1"/>
  <c r="D430" i="13"/>
  <c r="F430" i="13" s="1"/>
  <c r="D578" i="13"/>
  <c r="F578" i="13" s="1"/>
  <c r="D442" i="13"/>
  <c r="F442" i="13" s="1"/>
  <c r="D582" i="13"/>
  <c r="F582" i="13" s="1"/>
  <c r="D612" i="13"/>
  <c r="F612" i="13" s="1"/>
  <c r="D554" i="13"/>
  <c r="F554" i="13" s="1"/>
  <c r="D555" i="13"/>
  <c r="F555" i="13" s="1"/>
  <c r="D610" i="13"/>
  <c r="F610" i="13" s="1"/>
  <c r="D401" i="13"/>
  <c r="F401" i="13" s="1"/>
  <c r="D398" i="13"/>
  <c r="F398" i="13" s="1"/>
  <c r="D517" i="13"/>
  <c r="F517" i="13" s="1"/>
  <c r="D598" i="13"/>
  <c r="F598" i="13" s="1"/>
  <c r="D577" i="13"/>
  <c r="F577" i="13" s="1"/>
  <c r="D518" i="13"/>
  <c r="F518" i="13" s="1"/>
  <c r="D541" i="13"/>
  <c r="F541" i="13" s="1"/>
  <c r="D393" i="13"/>
  <c r="F393" i="13" s="1"/>
  <c r="D533" i="13"/>
  <c r="F533" i="13" s="1"/>
  <c r="D606" i="13"/>
  <c r="F606" i="13" s="1"/>
  <c r="D490" i="13"/>
  <c r="F490" i="13" s="1"/>
  <c r="D548" i="13"/>
  <c r="F548" i="13" s="1"/>
  <c r="D513" i="13"/>
  <c r="F513" i="13" s="1"/>
  <c r="D568" i="13"/>
  <c r="F568" i="13" s="1"/>
  <c r="D388" i="13"/>
  <c r="F388" i="13" s="1"/>
  <c r="D561" i="13"/>
  <c r="F561" i="13" s="1"/>
  <c r="D527" i="13"/>
  <c r="F527" i="13" s="1"/>
  <c r="D569" i="13"/>
  <c r="F569" i="13" s="1"/>
  <c r="D588" i="13"/>
  <c r="F588" i="13" s="1"/>
  <c r="D604" i="13"/>
  <c r="F604" i="13" s="1"/>
  <c r="D485" i="13"/>
  <c r="F485" i="13" s="1"/>
  <c r="D531" i="13"/>
  <c r="F531" i="13" s="1"/>
  <c r="D512" i="13"/>
  <c r="F512" i="13" s="1"/>
  <c r="D505" i="13"/>
  <c r="F505" i="13" s="1"/>
  <c r="D575" i="13"/>
  <c r="F575" i="13" s="1"/>
  <c r="D562" i="13"/>
  <c r="F562" i="13" s="1"/>
  <c r="D585" i="13"/>
  <c r="F585" i="13" s="1"/>
  <c r="D537" i="13"/>
  <c r="F537" i="13" s="1"/>
  <c r="D522" i="13"/>
  <c r="F522" i="13" s="1"/>
  <c r="D397" i="13"/>
  <c r="F397" i="13" s="1"/>
  <c r="D528" i="13"/>
  <c r="F528" i="13" s="1"/>
  <c r="D464" i="13"/>
  <c r="F464" i="13" s="1"/>
  <c r="D536" i="13"/>
  <c r="F536" i="13" s="1"/>
  <c r="D467" i="13"/>
  <c r="F467" i="13" s="1"/>
  <c r="D609" i="13"/>
  <c r="F609" i="13" s="1"/>
  <c r="D478" i="13"/>
  <c r="F478" i="13" s="1"/>
  <c r="D460" i="13"/>
  <c r="F460" i="13" s="1"/>
  <c r="D593" i="13"/>
  <c r="F593" i="13" s="1"/>
  <c r="D549" i="13"/>
  <c r="F549" i="13" s="1"/>
  <c r="D387" i="13"/>
  <c r="F387" i="13" s="1"/>
  <c r="D453" i="13"/>
  <c r="F453" i="13" s="1"/>
  <c r="D579" i="13"/>
  <c r="F579" i="13" s="1"/>
  <c r="D421" i="13"/>
  <c r="F421" i="13" s="1"/>
  <c r="D597" i="13"/>
  <c r="F597" i="13" s="1"/>
  <c r="D514" i="13"/>
  <c r="F514" i="13" s="1"/>
  <c r="D400" i="13"/>
  <c r="F400" i="13" s="1"/>
  <c r="D491" i="13"/>
  <c r="F491" i="13" s="1"/>
  <c r="D473" i="13"/>
  <c r="F473" i="13" s="1"/>
  <c r="D448" i="13"/>
  <c r="F448" i="13" s="1"/>
  <c r="D557" i="13"/>
  <c r="F557" i="13" s="1"/>
  <c r="D611" i="13"/>
  <c r="F611" i="13" s="1"/>
  <c r="D594" i="13"/>
  <c r="F594" i="13" s="1"/>
  <c r="D386" i="13"/>
  <c r="F386" i="13" s="1"/>
  <c r="D542" i="13"/>
  <c r="F542" i="13" s="1"/>
  <c r="D580" i="13"/>
  <c r="F580" i="13" s="1"/>
  <c r="D379" i="13"/>
  <c r="F379" i="13" s="1"/>
  <c r="D574" i="13"/>
  <c r="F574" i="13" s="1"/>
  <c r="D599" i="13"/>
  <c r="F599" i="13" s="1"/>
  <c r="D515" i="13"/>
  <c r="F515" i="13" s="1"/>
  <c r="D477" i="13"/>
  <c r="F477" i="13" s="1"/>
  <c r="D504" i="13"/>
  <c r="F504" i="13" s="1"/>
  <c r="D566" i="13"/>
  <c r="F566" i="13" s="1"/>
  <c r="D538" i="13"/>
  <c r="F538" i="13" s="1"/>
  <c r="D468" i="13"/>
  <c r="F468" i="13" s="1"/>
  <c r="D500" i="13" l="1"/>
  <c r="F500" i="13" s="1"/>
  <c r="D508" i="13"/>
  <c r="F508" i="13" s="1"/>
  <c r="D590" i="13"/>
  <c r="F590" i="13" s="1"/>
  <c r="D520" i="13"/>
  <c r="F520" i="13" s="1"/>
  <c r="D565" i="13"/>
  <c r="F565" i="13" s="1"/>
  <c r="D502" i="13"/>
  <c r="F502" i="13" s="1"/>
  <c r="D509" i="13"/>
  <c r="F509" i="13" s="1"/>
  <c r="D539" i="13"/>
  <c r="F539" i="13" s="1"/>
  <c r="D595" i="13"/>
  <c r="F595" i="13" s="1"/>
  <c r="D550" i="13"/>
  <c r="F550" i="13" s="1"/>
  <c r="D602" i="13"/>
  <c r="F602" i="13" s="1"/>
  <c r="D616" i="13"/>
  <c r="F616" i="13" s="1"/>
  <c r="D534" i="13"/>
  <c r="F534" i="13" s="1"/>
  <c r="D511" i="13"/>
  <c r="F511" i="13" s="1"/>
  <c r="D600" i="13"/>
  <c r="F600" i="13" s="1"/>
  <c r="D614" i="13"/>
  <c r="F614" i="13" s="1"/>
  <c r="D497" i="13"/>
  <c r="F497" i="13" s="1"/>
  <c r="D615" i="13"/>
  <c r="F615" i="13" s="1"/>
  <c r="D583" i="13"/>
  <c r="F583" i="13" s="1"/>
  <c r="D552" i="13"/>
  <c r="F552" i="13" s="1"/>
  <c r="D543" i="13"/>
  <c r="F543" i="13" s="1"/>
  <c r="D571" i="13"/>
  <c r="F571" i="13" s="1"/>
  <c r="D587" i="13"/>
  <c r="F587" i="13" s="1"/>
  <c r="D495" i="13"/>
  <c r="F495" i="13" s="1"/>
  <c r="D551" i="13"/>
  <c r="F551" i="13" s="1"/>
  <c r="D567" i="13"/>
  <c r="F567" i="13" s="1"/>
  <c r="D523" i="13"/>
  <c r="F523" i="13" s="1"/>
  <c r="D576" i="13"/>
  <c r="F576" i="13" s="1"/>
  <c r="D601" i="13"/>
  <c r="F601" i="13" s="1"/>
  <c r="D516" i="13"/>
  <c r="F516" i="13" s="1"/>
  <c r="D532" i="13"/>
  <c r="F532" i="13" s="1"/>
  <c r="D547" i="13"/>
  <c r="F547" i="13" s="1"/>
  <c r="D591" i="13"/>
  <c r="F591" i="13" s="1"/>
  <c r="D544" i="13"/>
  <c r="F544" i="13" s="1"/>
  <c r="D521" i="13"/>
  <c r="F521" i="13" s="1"/>
  <c r="D553" i="13"/>
  <c r="F553" i="13" s="1"/>
  <c r="D592" i="13"/>
  <c r="F592" i="13" s="1"/>
  <c r="D507" i="13"/>
  <c r="F507" i="13" s="1"/>
  <c r="D519" i="13"/>
  <c r="F519" i="13" s="1"/>
  <c r="D596" i="13"/>
  <c r="F596" i="13" s="1"/>
  <c r="D510" i="13"/>
  <c r="F510" i="13" s="1"/>
  <c r="D608" i="13"/>
  <c r="F608" i="13" s="1"/>
  <c r="D613" i="13"/>
  <c r="F613" i="13" s="1"/>
  <c r="D524" i="13"/>
  <c r="F524" i="13" s="1"/>
  <c r="D506" i="13"/>
  <c r="F506" i="13" s="1"/>
</calcChain>
</file>

<file path=xl/sharedStrings.xml><?xml version="1.0" encoding="utf-8"?>
<sst xmlns="http://schemas.openxmlformats.org/spreadsheetml/2006/main" count="3370" uniqueCount="217">
  <si>
    <t>Fecha_Entrega</t>
  </si>
  <si>
    <t>Cliente_ID</t>
  </si>
  <si>
    <t>Razon_Social</t>
  </si>
  <si>
    <t>Direccion</t>
  </si>
  <si>
    <t>Provincia</t>
  </si>
  <si>
    <t>Localidad</t>
  </si>
  <si>
    <t>CP</t>
  </si>
  <si>
    <t>Compañía de Carga</t>
  </si>
  <si>
    <t>Requiere_Turno</t>
  </si>
  <si>
    <t>Ruta_Default</t>
  </si>
  <si>
    <t>Secuencia_Default</t>
  </si>
  <si>
    <t>Activo</t>
  </si>
  <si>
    <t>NATURAL Y SALUDABLE S.A</t>
  </si>
  <si>
    <t>LA AGRICOLA REGIONAL COOP LTDA</t>
  </si>
  <si>
    <t>GRAN REX SRL</t>
  </si>
  <si>
    <t>LA ALIANZA COOP. AGRIC. GANADERA LTDA</t>
  </si>
  <si>
    <t>MARCELO TRUBBO</t>
  </si>
  <si>
    <t>PROVIN EQUIPOS Y SERVICIOS SA</t>
  </si>
  <si>
    <t>Coop. Obrera Ltda de Consumo y Vivienda</t>
  </si>
  <si>
    <t>COBAL SA</t>
  </si>
  <si>
    <t>UNION AGRICOLA DE AVELLANEDA COOP.LTDA</t>
  </si>
  <si>
    <t>KILGELMANN SRL</t>
  </si>
  <si>
    <t>ROSARIO COMPRAS AGRUPACION DE COLABORACION</t>
  </si>
  <si>
    <t>GRUPO 2000 AGRUPACION</t>
  </si>
  <si>
    <t>AUTOSERVICIO MAYORISTA DIARCO S.A.</t>
  </si>
  <si>
    <t>MAXICONSUMO SA</t>
  </si>
  <si>
    <t>MAXICONSUMO SA SALTA</t>
  </si>
  <si>
    <t>MAXICONSUMO SA PACHECO</t>
  </si>
  <si>
    <t>MAXICONSUMO SA TIGRE</t>
  </si>
  <si>
    <t>MAXICONSUMO SA NECOCHEA</t>
  </si>
  <si>
    <t>MAXICONSUMO SA RIO GRANDE</t>
  </si>
  <si>
    <t>MAXICONSUMO SA CHUBUT</t>
  </si>
  <si>
    <t>MAXICONSUMO SA CAMPANA</t>
  </si>
  <si>
    <t>Muy Barato</t>
  </si>
  <si>
    <t>S.A. IMPORTADORA Y EXPORTADORA DE LA PATAGONIA</t>
  </si>
  <si>
    <t>INC S.A</t>
  </si>
  <si>
    <t>+ 3 ALIMENTOS</t>
  </si>
  <si>
    <t>CENCOSUD S.A.</t>
  </si>
  <si>
    <t>DIDONATO LEONARDO ANTONIO</t>
  </si>
  <si>
    <t>CRONI S.A.</t>
  </si>
  <si>
    <t>COTO C.I.C.S.A</t>
  </si>
  <si>
    <t>FIT MARKET S.A.</t>
  </si>
  <si>
    <t>FRUTOS SECOS DEON LORENZO SRL</t>
  </si>
  <si>
    <t>CENCOSUD S.A. CORDOBA</t>
  </si>
  <si>
    <t>SUPERMERCADO PILONI S.A</t>
  </si>
  <si>
    <t>FARMFOODS S.A</t>
  </si>
  <si>
    <t>DIA ARGENTINA S A (PROV: 11735)</t>
  </si>
  <si>
    <t>MAXICONSUMO S.A CONCORDIA</t>
  </si>
  <si>
    <t>TESTA MATIAS ARIEL, TESTA JUAN PABLO Y TESTA LEONARDO DANIEL S.H</t>
  </si>
  <si>
    <t>DON GASTON SA</t>
  </si>
  <si>
    <t>DIEGO JOSE LAZZARO</t>
  </si>
  <si>
    <t>EMANUEL CRISTIAN MARCELO ANDINO</t>
  </si>
  <si>
    <t>LIBAIE S.R.L.</t>
  </si>
  <si>
    <t>TRAPAL S.R.L.</t>
  </si>
  <si>
    <t>GASTRONOMIA EMPRENDIMIENTOS</t>
  </si>
  <si>
    <t>MACLAR S. R. L.</t>
  </si>
  <si>
    <t>MASOGAL S.A.</t>
  </si>
  <si>
    <t>TOTAL ALIMENTOS ARGENTINOS</t>
  </si>
  <si>
    <t>GREEN &amp; CO</t>
  </si>
  <si>
    <t>SKU</t>
  </si>
  <si>
    <t>DESCRIPCION</t>
  </si>
  <si>
    <t>UoM_Venta</t>
  </si>
  <si>
    <t>Cajas_por_pallet</t>
  </si>
  <si>
    <t>EP_por_Caja</t>
  </si>
  <si>
    <t>LASFOR-GRANEL-ALMOHADITA FRUTILLA</t>
  </si>
  <si>
    <t>CJ</t>
  </si>
  <si>
    <t>LASFOR-GRANEL-ALMOHADITA MANI</t>
  </si>
  <si>
    <t>LASFOR-GRANEL-ALMOHADITA CHOCOLATE</t>
  </si>
  <si>
    <t>LASFOR-GRANEL-ALMOHADITA AVELLANA</t>
  </si>
  <si>
    <t>LASFOR-GRANEL-ALMOHADITA LIMON</t>
  </si>
  <si>
    <t>LASFOR-GRANEL-ARITOS FRUTALES</t>
  </si>
  <si>
    <t>LASFOR-GRANEL-ARITOS DE MIEL</t>
  </si>
  <si>
    <t>LASFOR-GRANEL-BOLITAS CHOCOLATE</t>
  </si>
  <si>
    <t>LASFOR-GRANEL-OSITOS DE FRUTILLA</t>
  </si>
  <si>
    <t>LASFOR-GRANEL-OSITOS DE MIEL</t>
  </si>
  <si>
    <t>LASFOR-GRANEL-CUADRICOPO NATURAL</t>
  </si>
  <si>
    <t>LASFOR-GRANEL-BASTON DE SALVADO</t>
  </si>
  <si>
    <t>LASFOR-GRANEL-MIX DE CEREAL</t>
  </si>
  <si>
    <t>LASFOR-GRANEL-ALMOHADITA 2 SALVADO</t>
  </si>
  <si>
    <t>LASFOR-GRANEL-COPOS AZUCARADOS</t>
  </si>
  <si>
    <t>LASFOR-GRANEL-COPOS NATURAL</t>
  </si>
  <si>
    <t>LASFOR-GRANEL-OSITOS CHOCOLATE</t>
  </si>
  <si>
    <t>LASFOR-GRANEL-ALMOHADITA CHOCO BLANCO</t>
  </si>
  <si>
    <t>LASFOR-GRANEL-GRANOLA 6 x 1,5KG</t>
  </si>
  <si>
    <t>LASFOR-GRANEL-ALM. ARROZ FRUTILLA</t>
  </si>
  <si>
    <t>LASFOR-GRANEL-ALM. ARROZ CHOCOLATE</t>
  </si>
  <si>
    <t>LASFOR-GRANEL-ALM. ARROZ AVELLANA</t>
  </si>
  <si>
    <t>LASFOR-GRANEL-ALM. ARROZ LIMON</t>
  </si>
  <si>
    <t>LASFOR-GRANEL-ALMOHADITA FRUTILLA 500g</t>
  </si>
  <si>
    <t>LASFOR-GRANEL-ALMOHADITA CHOCOLATE 500g</t>
  </si>
  <si>
    <t>LASFOR-GRANEL-ALMOHADITA LIMON 500g</t>
  </si>
  <si>
    <t>LASFOR-GRANEL-ALMOHADITA AVELLANA 500g</t>
  </si>
  <si>
    <t>LASFOR-GRANEL-ARITOS FRUTALES 500g</t>
  </si>
  <si>
    <t>LASFOR-GRANEL-BOLITAS CHOCOLATE 500g</t>
  </si>
  <si>
    <t>LASFOR-GRANEL-BASTON DE SALVADO 500g</t>
  </si>
  <si>
    <t>LASFOR-GRANEL-COPOS NATURALES 500G</t>
  </si>
  <si>
    <t>LASFOR-GRANEL-COPOS AZUCARADOS 500G</t>
  </si>
  <si>
    <t>GRANDIET-GRANEL-ALMOHADITA FRUTILLA</t>
  </si>
  <si>
    <t>GRANDIET-GRANEL-ALMOHADITA MANI</t>
  </si>
  <si>
    <t>GRANDIET-GRANEL-ALMOHADITA AVELLANA</t>
  </si>
  <si>
    <t>GRANDIET-GRANEL-ALMOHADITA LIMON</t>
  </si>
  <si>
    <t>GRANDIET-GRANEL-ARITOS FRUTALES</t>
  </si>
  <si>
    <t>GRANDIET-GRANEL-ARITOS DE MIEL</t>
  </si>
  <si>
    <t>GRANDIET-GRANEL-BOLITAS DE CHOCOLATE</t>
  </si>
  <si>
    <t>GRANDIET-GRANEL-OSITOS DE MIEL</t>
  </si>
  <si>
    <t>GRANDIET-GRANEL-BASTON DE SALVADO</t>
  </si>
  <si>
    <t>GRANDIET-GRANEL-ALMOHADITA 2 SALVADO</t>
  </si>
  <si>
    <t>GRANDIET-GRANEL-ALMOHADITA CHOCOLATE</t>
  </si>
  <si>
    <t>GRANDIET-GRANEL-OSITO FRUTILLA</t>
  </si>
  <si>
    <t>GRANDIET-GRANEL-OSITO CHOCOLATE</t>
  </si>
  <si>
    <t>MASCOTAS-INDUSTRIAL-ALM PERROS</t>
  </si>
  <si>
    <t>MASCOTAS-INDUSTRIAL-ALM GATOS</t>
  </si>
  <si>
    <t>SNUKS-INDUSTRIAL-ALM FRUTILLA</t>
  </si>
  <si>
    <t>SNUKS-INDUSTRIAL-ALM CHOCOLATE</t>
  </si>
  <si>
    <t>SNUKS-INDUSTRIAL-ALM LIMON</t>
  </si>
  <si>
    <t>LASFOR-RETAIL-COPOS AZUCARADOS 240</t>
  </si>
  <si>
    <t>LASFOR-RETAIL-COPOS NATURAL 200</t>
  </si>
  <si>
    <t>LASFOR-RETAIL-ALM FRUTILLA 200</t>
  </si>
  <si>
    <t>LASFOR-RETAIL-ALM CHOCOLATE 200</t>
  </si>
  <si>
    <t>LASFOR-RETAIL-ALM LIMON 200</t>
  </si>
  <si>
    <t>LASFOR-RETAIL-ALM AVELLANA 200</t>
  </si>
  <si>
    <t>LASFOR-RETAIL-GRANOLA ALMENDRAS Y PASAS</t>
  </si>
  <si>
    <t>LASFOR-RETAIL-GRANOLA FRUTOS ROJOS</t>
  </si>
  <si>
    <t>LASFOR-RETAL-FIBRA BASTON 200</t>
  </si>
  <si>
    <t>LASFOR-RETAIL-BOLITAS CHOCOLATADAS 180</t>
  </si>
  <si>
    <t>LASFOR-RETAIL-ARITOS FRUTADOS 180</t>
  </si>
  <si>
    <t>CRISTAL-RETAIL-ALMOHADITA FRUTILLA</t>
  </si>
  <si>
    <t>CRISTAL-RETAIL-ALMOHADITA CHOCOLATE</t>
  </si>
  <si>
    <t>CRISTAL-RETAIL-ALMOHADITA LIMON</t>
  </si>
  <si>
    <t>CRISTAL-RETAIL-ALMOHADITA 2 SALVADO</t>
  </si>
  <si>
    <t>CRISTAL-RETAIL-GRANOLA</t>
  </si>
  <si>
    <t>CRISTAL-RETAIL-MIX DE CEREAL</t>
  </si>
  <si>
    <t>CRISTAL-RETAIL-BASTON DE SALVADO</t>
  </si>
  <si>
    <t>CRISTAL-RETAIL-ARITOS FRUTADOS</t>
  </si>
  <si>
    <t>CRISTAL-RETAIL-BOLITAS DE CHOCOLATE</t>
  </si>
  <si>
    <t>CRISTAL-RETAIL-COPOS AZUCARADOS</t>
  </si>
  <si>
    <t>CRISTAL-RETAIL-OSITOS FRUTILLA</t>
  </si>
  <si>
    <t>CRISTAL-RETAIL-OSITOS MIEL</t>
  </si>
  <si>
    <t>CRISTAL-RETAIL-ALMOHADITA AVELLANA</t>
  </si>
  <si>
    <t>CRISTAL-RETAIL-GRANOLA ALMENDRA Y PASAS</t>
  </si>
  <si>
    <t>CRISTAL-RETAIL-GRANOLA FRUTOS ROJOS</t>
  </si>
  <si>
    <t>CRISTAL-RETAIL-ARITOS MIEL</t>
  </si>
  <si>
    <t>CRISTAL-RETAIL-OSITOS CHOCOLATE</t>
  </si>
  <si>
    <t>CRISTAL-RETAIL-COPOS NATURALES</t>
  </si>
  <si>
    <t>CRISTAL-RETAIL-ARROZ ALM. FRUTILLA</t>
  </si>
  <si>
    <t>CRISTAL-RETAIL-ARROZ ALM. AVELLANA</t>
  </si>
  <si>
    <t>CRISTAL-RETAIL-ARROZ ALM. CHOCOLATE</t>
  </si>
  <si>
    <t>PRIMER PRECIO-RETAIL-ALM. FRUTILLA</t>
  </si>
  <si>
    <t>PRIMER PRECIO-RETAIL-ALM. CHOCOLATE</t>
  </si>
  <si>
    <t>PRIMER PRECIO-RETAIL-ALM. LIMON</t>
  </si>
  <si>
    <t>PRIMER PRECIO-RETAIL-BRAN</t>
  </si>
  <si>
    <t>PRIMER PRECIO-RETAIL-MIX DE CEREALES</t>
  </si>
  <si>
    <t>PRIMER PRECIO-RETAIL-BOLITAS CHOCOLATE</t>
  </si>
  <si>
    <t>PRIMER PRECIO-RETAIL-ARITOS FRUTALES</t>
  </si>
  <si>
    <t>PRIMER PRECIO-RETAIL-ALM. AVELLANA</t>
  </si>
  <si>
    <t>SNUKS FRUTILLA 240G</t>
  </si>
  <si>
    <t>SNUKS AVELLANA 240G</t>
  </si>
  <si>
    <t>SNUKS CHOCOLATE 240G</t>
  </si>
  <si>
    <t>SNUKS LIMON 240G</t>
  </si>
  <si>
    <t>SNUKS ARITOS FRUTALES 200</t>
  </si>
  <si>
    <t>SNUKS BOLITAS CHOCOLATE 200</t>
  </si>
  <si>
    <t>SNUKS VAINILLA Y CARAMELO 240G</t>
  </si>
  <si>
    <t>MAROLIO ALMOHADITAS FRUTILLA</t>
  </si>
  <si>
    <t>MAROLIO ALMOHADITAS CHOCOLATE</t>
  </si>
  <si>
    <t>SNUKS FRUTILLA 90G</t>
  </si>
  <si>
    <t>SNUKS AVELLANA 90G</t>
  </si>
  <si>
    <t>BULNEZ-RETAIL-ALM. FRUTILLA</t>
  </si>
  <si>
    <t>BULNEZ-RETAIL-ALM. CHOCOLATE</t>
  </si>
  <si>
    <t>BULNEZ-RETAIL-ALM. LIMON</t>
  </si>
  <si>
    <t>BULNEZ-RETAIL-ALM. AVELLANA</t>
  </si>
  <si>
    <t>DIA-RETAIL-ALM. FRUTILLA 10ux180g</t>
  </si>
  <si>
    <t>DIA-RETAIL-ALM. CHOCOLATE 10ux180g</t>
  </si>
  <si>
    <t>DIA-RETAIL-ALM. AVELLANA 10ux180g</t>
  </si>
  <si>
    <t>NINA-CHOCOCHIPS</t>
  </si>
  <si>
    <t>NINA-LEMON Y GINGER</t>
  </si>
  <si>
    <t>NINA-CRANBERRY</t>
  </si>
  <si>
    <t>NINA-BLONDIES</t>
  </si>
  <si>
    <t>NINA-CHOCOLATE BLISS</t>
  </si>
  <si>
    <t>NINA-LEMON SUGAR FREE</t>
  </si>
  <si>
    <t>NINA-BLONDIES SUGAR FREE</t>
  </si>
  <si>
    <t>MUDRA-GRANOLA-EQUILIBRIO</t>
  </si>
  <si>
    <t>MUDRA-GRANOLA-FUERZA VITAL</t>
  </si>
  <si>
    <t>MUDRA-BARRA-BIENESTAR</t>
  </si>
  <si>
    <t>MUDRA-BARRA-ARMONIA</t>
  </si>
  <si>
    <t>MUDRA-BARRA-ENERGIA VITAL</t>
  </si>
  <si>
    <t>WAKE UP-BARRA-CHOCOLATE NEGRO</t>
  </si>
  <si>
    <t>WAKE UP-BARRA-CHOCOLATE BLANCO</t>
  </si>
  <si>
    <t>Turno_Confirmado</t>
  </si>
  <si>
    <t>Turno_Fecha</t>
  </si>
  <si>
    <t>Turno_Hora</t>
  </si>
  <si>
    <t>Turno_ID</t>
  </si>
  <si>
    <t>Assign_Status</t>
  </si>
  <si>
    <t>Notas</t>
  </si>
  <si>
    <t>Key_FechaCliente</t>
  </si>
  <si>
    <t>UNASSIGNED</t>
  </si>
  <si>
    <t>OK</t>
  </si>
  <si>
    <t>Pallets_Turnados</t>
  </si>
  <si>
    <t>Dia_Plan</t>
  </si>
  <si>
    <t>SI</t>
  </si>
  <si>
    <t>⚡ DÍA 1: Ingresá CANTIDAD (col D) manualmente.  DÍAS 2-6: Col D y F se calculan AUTOMÁTICAMENTE desde el saldo de PLAN_ENTREGAS_MULTIDIA. No editar filas Día 2-6.</t>
  </si>
  <si>
    <t>FECHA</t>
  </si>
  <si>
    <t>CANTIDAD</t>
  </si>
  <si>
    <t>UoM</t>
  </si>
  <si>
    <t>EP_Stock</t>
  </si>
  <si>
    <t>DÍA 2 - Stock automático (saldo día 1)</t>
  </si>
  <si>
    <t>DÍA 3 - Stock automático (saldo día 2)</t>
  </si>
  <si>
    <t>DÍA 4 - Stock automático (saldo día 3)</t>
  </si>
  <si>
    <t>DÍA 5 - Stock automático (saldo día 4)</t>
  </si>
  <si>
    <t>DÍA 6 - Stock automático (saldo día 5)</t>
  </si>
  <si>
    <t>⚡ TODOS LOS DÍAS: Ingresá CANTIDAD (col D) en cajas para la producción planificada de cada día. La fecha (col A) y el EP (col F) se calculan solos. Días 2-6 ya tienen FECHA automática desde PARAMETROS.</t>
  </si>
  <si>
    <t>UOM</t>
  </si>
  <si>
    <t>EP_PRODUCCION</t>
  </si>
  <si>
    <t>DÍA 2 - Ingresá CANTIDAD producida (col D, en cajas)</t>
  </si>
  <si>
    <t>DÍA 3 - Ingresá CANTIDAD producida (col D, en cajas)</t>
  </si>
  <si>
    <t>DÍA 4 - Ingresá CANTIDAD producida (col D, en cajas)</t>
  </si>
  <si>
    <t>DÍA 5 - Ingresá CANTIDAD producida (col D, en cajas)</t>
  </si>
  <si>
    <t>DÍA 6 - Ingresá CANTIDAD producida (col D, en cajas)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</si>
</sst>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dd/mm/yyyy"/>
    <numFmt numFmtId="166" formatCode="0.000000"/>
    <numFmt numFmtId="167" formatCode="0.0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00"/>
      <name val="Tahoma"/>
      <family val="2"/>
    </font>
    <font>
      <b/>
      <sz val="11"/>
      <color rgb="FFFFFFFF"/>
      <name val="Calibri"/>
    </font>
    <font>
      <b/>
      <sz val="10"/>
      <color rgb="FFFFFFFF"/>
      <name val="Arial"/>
    </font>
    <font>
      <sz val="10"/>
      <color rgb="FF1F4E79"/>
      <name val="Arial"/>
    </font>
    <font>
      <b/>
      <sz val="10"/>
      <color rgb="FF1F4E79"/>
      <name val="Arial"/>
    </font>
    <font>
      <sz val="10"/>
      <color rgb="FF375623"/>
      <name val="Arial"/>
    </font>
    <font>
      <b/>
      <sz val="9"/>
      <color rgb="FF375623"/>
      <name val="Arial"/>
    </font>
    <font>
      <sz val="9"/>
      <name val="Arial"/>
    </font>
  </fonts>
  <fills count="9">
    <fill>
      <patternFill patternType="none"/>
    </fill>
    <fill>
      <patternFill patternType="gray125"/>
    </fill>
    <fill>
      <patternFill patternType="solid">
        <fgColor rgb="FFF1F1F1"/>
        <bgColor rgb="FFF1F1F1"/>
      </patternFill>
    </fill>
    <fill>
      <patternFill patternType="solid">
        <fgColor rgb="FFFFFFFF"/>
        <bgColor rgb="FFFFFFFF"/>
      </patternFill>
    </fill>
    <fill>
      <patternFill patternType="solid">
        <f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D9E1F2"/>
        <bgColor rgb="FFD9E1F2"/>
      </patternFill>
    </fill>
    <fill>
      <patternFill patternType="solid">
        <fgColor rgb="FFE2EFDA"/>
        <bgColor rgb="FFE2EFDA"/>
      </patternFill>
    </fill>
    <fill>
      <patternFill patternType="solid">
        <fgColor rgb="FF1F4E79"/>
        <bgColor rgb="FF1F4E79"/>
      </patternFill>
    </fill>
  </fills>
  <borders count="3">
    <border>
      <left/>
      <right/>
      <top/>
      <bottom/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4" fillId="4" borderId="0" xfId="0" applyFont="1" applyFill="1" applyAlignment="1">
      <alignment horizontal="center" vertical="center" wrapText="1"/>
    </xf>
    <xf numFmtId="164" fontId="0" fillId="0" borderId="0" xfId="0" applyNumberFormat="1"/>
    <xf numFmtId="0" fontId="4" fillId="4" borderId="0" xfId="0" applyFont="1" applyFill="1" applyAlignment="1">
      <alignment horizontal="center" vertical="center"/>
    </xf>
    <xf numFmtId="0" fontId="10" fillId="0" borderId="2" xfId="0" applyFont="1" applyBorder="1"/>
    <xf numFmtId="0" fontId="5" fillId="8" borderId="2" xfId="0" applyFont="1" applyFill="1" applyBorder="1" applyAlignment="1">
      <alignment horizontal="center"/>
    </xf>
    <xf numFmtId="0" fontId="8" fillId="7" borderId="2" xfId="0" applyFont="1" applyFill="1" applyBorder="1" applyAlignment="1">
      <alignment horizontal="center"/>
    </xf>
    <xf numFmtId="165" fontId="8" fillId="0" borderId="2" xfId="0" applyNumberFormat="1" applyFont="1" applyBorder="1"/>
    <xf numFmtId="2" fontId="8" fillId="7" borderId="2" xfId="0" applyNumberFormat="1" applyFont="1" applyFill="1" applyBorder="1" applyAlignment="1">
      <alignment horizontal="right"/>
    </xf>
    <xf numFmtId="1" fontId="6" fillId="5" borderId="2" xfId="0" applyNumberFormat="1" applyFont="1" applyFill="1" applyBorder="1" applyAlignment="1">
      <alignment horizontal="right"/>
    </xf>
    <xf numFmtId="0" fontId="0" fillId="6" borderId="0" xfId="0" applyFill="1"/>
    <xf numFmtId="0" fontId="0" fillId="0" borderId="2" xfId="0" applyBorder="1" applyAlignment="1">
      <alignment horizontal="center"/>
    </xf>
    <xf numFmtId="166" fontId="8" fillId="7" borderId="2" xfId="0" applyNumberFormat="1" applyFont="1" applyFill="1" applyBorder="1"/>
    <xf numFmtId="0" fontId="0" fillId="0" borderId="0" xfId="0"/>
    <xf numFmtId="0" fontId="7" fillId="6" borderId="0" xfId="0" applyFont="1" applyFill="1"/>
    <xf numFmtId="167" fontId="0" fillId="0" borderId="0" xfId="0" applyNumberFormat="1"/>
    <xf numFmtId="167" fontId="4" fillId="4" borderId="0" xfId="0" applyNumberFormat="1" applyFont="1" applyFill="1" applyAlignment="1">
      <alignment horizontal="center" vertical="center" wrapText="1"/>
    </xf>
    <xf numFmtId="167" fontId="0" fillId="6" borderId="0" xfId="0" applyNumberFormat="1" applyFill="1"/>
    <xf numFmtId="167" fontId="8" fillId="7" borderId="2" xfId="0" applyNumberFormat="1" applyFont="1" applyFill="1" applyBorder="1"/>
    <xf numFmtId="0" fontId="0" fillId="0" borderId="0" xfId="0"/>
    <xf numFmtId="0" fontId="9" fillId="7" borderId="0" xfId="0" applyFont="1" applyFill="1" applyAlignment="1">
      <alignment horizontal="center" vertical="center" wrapText="1"/>
    </xf>
    <xf numFmtId="0" fontId="0" fillId="0" borderId="0" xfId="0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K448"/>
  <sheetViews>
    <sheetView workbookViewId="0">
      <selection activeCell="B1" sqref="B1"/>
    </sheetView>
  </sheetViews>
  <sheetFormatPr baseColWidth="10" defaultColWidth="8.88671875" defaultRowHeight="14.4" x14ac:dyDescent="0.3"/>
  <cols>
    <col min="1" max="1" width="12.33203125" style="17" bestFit="1" customWidth="1"/>
    <col min="2" max="3" width="35.5546875" style="17" bestFit="1" customWidth="1"/>
    <col min="4" max="4" width="15.77734375" style="17" bestFit="1" customWidth="1"/>
    <col min="5" max="5" width="29.33203125" style="17" bestFit="1" customWidth="1"/>
    <col min="6" max="6" width="11.5546875" style="17" bestFit="1" customWidth="1"/>
    <col min="7" max="7" width="16.109375" style="17" bestFit="1" customWidth="1"/>
    <col min="8" max="8" width="14" style="17" bestFit="1" customWidth="1"/>
    <col min="9" max="9" width="14" style="17" customWidth="1"/>
    <col min="10" max="10" width="19" style="17" customWidth="1"/>
    <col min="11" max="11" width="14" style="17" customWidth="1"/>
  </cols>
  <sheetData>
    <row r="1" spans="1:11" ht="28.8" customHeight="1" x14ac:dyDescent="0.3">
      <c r="A1" s="5" t="s">
        <v>1</v>
      </c>
      <c r="B1" s="5" t="s">
        <v>2</v>
      </c>
      <c r="C1" s="5" t="s">
        <v>3</v>
      </c>
      <c r="D1" s="5" t="s">
        <v>4</v>
      </c>
      <c r="E1" s="5" t="s">
        <v>5</v>
      </c>
      <c r="F1" s="5" t="s">
        <v>6</v>
      </c>
      <c r="G1" s="5" t="s">
        <v>7</v>
      </c>
      <c r="H1" s="5" t="s">
        <v>8</v>
      </c>
      <c r="I1" s="5" t="s">
        <v>9</v>
      </c>
      <c r="J1" s="5" t="s">
        <v>10</v>
      </c>
      <c r="K1" s="5" t="s">
        <v>11</v>
      </c>
    </row>
    <row r="2" spans="1:11" x14ac:dyDescent="0.3">
      <c r="A2" s="1"/>
      <c r="B2" s="1"/>
      <c r="C2" s="1"/>
      <c r="F2" s="1"/>
    </row>
    <row r="3" spans="1:11" x14ac:dyDescent="0.3">
      <c r="A3" s="1"/>
      <c r="B3" s="1"/>
      <c r="C3" s="1"/>
      <c r="D3" s="1"/>
      <c r="E3" s="1"/>
      <c r="F3" s="1"/>
    </row>
    <row r="4" spans="1:11" x14ac:dyDescent="0.3">
      <c r="A4" s="1"/>
      <c r="B4" s="1"/>
      <c r="C4" s="1"/>
      <c r="D4" s="1"/>
      <c r="E4" s="1"/>
    </row>
    <row r="5" spans="1:11" x14ac:dyDescent="0.3">
      <c r="A5" s="1"/>
      <c r="B5" s="1"/>
      <c r="C5" s="1"/>
      <c r="D5" s="1"/>
      <c r="E5" s="1"/>
    </row>
    <row r="6" spans="1:11" x14ac:dyDescent="0.3">
      <c r="A6" s="1"/>
      <c r="B6" s="1"/>
      <c r="C6" s="1"/>
      <c r="D6" s="1"/>
      <c r="E6" s="1"/>
    </row>
    <row r="7" spans="1:11" x14ac:dyDescent="0.3">
      <c r="A7" s="1"/>
      <c r="B7" s="1"/>
      <c r="C7" s="1"/>
      <c r="D7" s="1"/>
      <c r="E7" s="1"/>
    </row>
    <row r="8" spans="1:11" x14ac:dyDescent="0.3">
      <c r="A8" s="1"/>
      <c r="B8" s="1"/>
      <c r="C8" s="1"/>
      <c r="D8" s="1"/>
      <c r="E8" s="1"/>
      <c r="G8" s="1"/>
    </row>
    <row r="9" spans="1:11" x14ac:dyDescent="0.3">
      <c r="A9" s="1"/>
      <c r="B9" s="1"/>
      <c r="C9" s="1"/>
      <c r="D9" s="1"/>
      <c r="E9" s="1"/>
      <c r="G9" s="1"/>
    </row>
    <row r="10" spans="1:11" x14ac:dyDescent="0.3">
      <c r="A10" s="1"/>
      <c r="B10" s="1"/>
      <c r="C10" s="1"/>
      <c r="D10" s="1"/>
      <c r="E10" s="1"/>
    </row>
    <row r="11" spans="1:11" x14ac:dyDescent="0.3">
      <c r="A11" s="1"/>
      <c r="B11" s="1"/>
      <c r="C11" s="1"/>
      <c r="D11" s="1"/>
      <c r="E11" s="1"/>
    </row>
    <row r="12" spans="1:11" x14ac:dyDescent="0.3">
      <c r="A12" s="1"/>
      <c r="B12" s="1"/>
      <c r="C12" s="1"/>
      <c r="D12" s="1"/>
      <c r="E12" s="1"/>
    </row>
    <row r="13" spans="1:11" x14ac:dyDescent="0.3">
      <c r="A13" s="1"/>
      <c r="B13" s="1"/>
    </row>
    <row r="14" spans="1:11" x14ac:dyDescent="0.3">
      <c r="A14" s="1"/>
      <c r="B14" s="1"/>
      <c r="C14" s="1"/>
      <c r="D14" s="1"/>
      <c r="E14" s="1"/>
      <c r="G14" s="1"/>
    </row>
    <row r="15" spans="1:11" x14ac:dyDescent="0.3">
      <c r="A15" s="1"/>
      <c r="B15" s="1"/>
      <c r="C15" s="1"/>
      <c r="D15" s="1"/>
      <c r="E15" s="1"/>
    </row>
    <row r="16" spans="1:11" x14ac:dyDescent="0.3">
      <c r="A16" s="1"/>
      <c r="B16" s="1"/>
      <c r="C16" s="1"/>
      <c r="D16" s="1"/>
      <c r="G16" s="1"/>
    </row>
    <row r="17" spans="1:7" x14ac:dyDescent="0.3">
      <c r="A17" s="1"/>
      <c r="B17" s="1"/>
      <c r="C17" s="1"/>
      <c r="D17" s="1"/>
      <c r="E17" s="1"/>
    </row>
    <row r="18" spans="1:7" x14ac:dyDescent="0.3">
      <c r="A18" s="1"/>
      <c r="B18" s="1"/>
      <c r="C18" s="1"/>
      <c r="D18" s="1"/>
      <c r="E18" s="1"/>
    </row>
    <row r="19" spans="1:7" x14ac:dyDescent="0.3">
      <c r="A19" s="1"/>
      <c r="B19" s="1"/>
      <c r="C19" s="1"/>
      <c r="D19" s="1"/>
      <c r="E19" s="1"/>
    </row>
    <row r="20" spans="1:7" x14ac:dyDescent="0.3">
      <c r="A20" s="1"/>
      <c r="B20" s="1"/>
      <c r="C20" s="1"/>
      <c r="D20" s="1"/>
      <c r="E20" s="1"/>
    </row>
    <row r="21" spans="1:7" x14ac:dyDescent="0.3">
      <c r="A21" s="1"/>
      <c r="B21" s="1"/>
      <c r="C21" s="1"/>
      <c r="D21" s="1"/>
      <c r="E21" s="1"/>
      <c r="G21" s="1"/>
    </row>
    <row r="22" spans="1:7" x14ac:dyDescent="0.3">
      <c r="A22" s="1"/>
      <c r="B22" s="1"/>
      <c r="C22" s="1"/>
      <c r="D22" s="1"/>
      <c r="E22" s="1"/>
    </row>
    <row r="23" spans="1:7" x14ac:dyDescent="0.3">
      <c r="A23" s="1"/>
      <c r="B23" s="1"/>
      <c r="C23" s="1"/>
      <c r="D23" s="1"/>
      <c r="E23" s="1"/>
      <c r="G23" s="1"/>
    </row>
    <row r="24" spans="1:7" x14ac:dyDescent="0.3">
      <c r="A24" s="1"/>
      <c r="B24" s="1"/>
      <c r="C24" s="1"/>
      <c r="D24" s="1"/>
      <c r="E24" s="1"/>
      <c r="G24" s="1"/>
    </row>
    <row r="25" spans="1:7" x14ac:dyDescent="0.3">
      <c r="A25" s="1"/>
      <c r="B25" s="1"/>
      <c r="C25" s="1"/>
      <c r="D25" s="1"/>
      <c r="E25" s="1"/>
      <c r="G25" s="1"/>
    </row>
    <row r="26" spans="1:7" x14ac:dyDescent="0.3">
      <c r="A26" s="1"/>
      <c r="B26" s="1"/>
      <c r="C26" s="1"/>
      <c r="D26" s="1"/>
      <c r="E26" s="1"/>
      <c r="G26" s="1"/>
    </row>
    <row r="27" spans="1:7" x14ac:dyDescent="0.3">
      <c r="A27" s="1"/>
      <c r="B27" s="1"/>
      <c r="C27" s="1"/>
      <c r="D27" s="1"/>
      <c r="E27" s="1"/>
      <c r="G27" s="1"/>
    </row>
    <row r="28" spans="1:7" x14ac:dyDescent="0.3">
      <c r="A28" s="1"/>
      <c r="B28" s="1"/>
      <c r="C28" s="1"/>
      <c r="D28" s="1"/>
      <c r="E28" s="1"/>
      <c r="G28" s="1"/>
    </row>
    <row r="29" spans="1:7" x14ac:dyDescent="0.3">
      <c r="A29" s="1"/>
      <c r="B29" s="1"/>
      <c r="C29" s="1"/>
      <c r="D29" s="1"/>
      <c r="E29" s="1"/>
      <c r="G29" s="1"/>
    </row>
    <row r="30" spans="1:7" x14ac:dyDescent="0.3">
      <c r="A30" s="1"/>
      <c r="B30" s="1"/>
      <c r="C30" s="1"/>
      <c r="D30" s="1"/>
      <c r="E30" s="1"/>
      <c r="G30" s="1"/>
    </row>
    <row r="31" spans="1:7" x14ac:dyDescent="0.3">
      <c r="A31" s="1"/>
      <c r="B31" s="1"/>
      <c r="C31" s="1"/>
      <c r="D31" s="1"/>
      <c r="E31" s="1"/>
      <c r="G31" s="1"/>
    </row>
    <row r="32" spans="1:7" x14ac:dyDescent="0.3">
      <c r="A32" s="1"/>
      <c r="B32" s="1"/>
      <c r="C32" s="1"/>
      <c r="D32" s="1"/>
      <c r="E32" s="1"/>
      <c r="G32" s="1"/>
    </row>
    <row r="33" spans="1:7" x14ac:dyDescent="0.3">
      <c r="A33" s="1"/>
      <c r="B33" s="1"/>
      <c r="C33" s="1"/>
      <c r="D33" s="1"/>
      <c r="E33" s="1"/>
      <c r="G33" s="1"/>
    </row>
    <row r="34" spans="1:7" x14ac:dyDescent="0.3">
      <c r="A34" s="1"/>
      <c r="B34" s="1"/>
      <c r="C34" s="1"/>
      <c r="D34" s="1"/>
      <c r="E34" s="1"/>
      <c r="G34" s="1"/>
    </row>
    <row r="35" spans="1:7" x14ac:dyDescent="0.3">
      <c r="A35" s="1"/>
      <c r="B35" s="1"/>
      <c r="C35" s="1"/>
      <c r="D35" s="1"/>
      <c r="E35" s="1"/>
    </row>
    <row r="36" spans="1:7" x14ac:dyDescent="0.3">
      <c r="A36" s="1"/>
      <c r="B36" s="1"/>
    </row>
    <row r="37" spans="1:7" x14ac:dyDescent="0.3">
      <c r="A37" s="1"/>
      <c r="B37" s="1"/>
      <c r="C37" s="1"/>
      <c r="D37" s="1"/>
      <c r="E37" s="1"/>
    </row>
    <row r="38" spans="1:7" x14ac:dyDescent="0.3">
      <c r="A38" s="1"/>
      <c r="B38" s="1"/>
      <c r="C38" s="1"/>
      <c r="D38" s="1"/>
      <c r="E38" s="1"/>
    </row>
    <row r="39" spans="1:7" x14ac:dyDescent="0.3">
      <c r="A39" s="1"/>
      <c r="B39" s="1"/>
      <c r="C39" s="1"/>
      <c r="D39" s="1"/>
      <c r="E39" s="1"/>
      <c r="G39" s="1"/>
    </row>
    <row r="40" spans="1:7" x14ac:dyDescent="0.3">
      <c r="A40" s="1"/>
      <c r="B40" s="1"/>
      <c r="C40" s="1"/>
      <c r="D40" s="1"/>
      <c r="E40" s="1"/>
      <c r="G40" s="1"/>
    </row>
    <row r="41" spans="1:7" x14ac:dyDescent="0.3">
      <c r="A41" s="1"/>
      <c r="B41" s="1"/>
      <c r="C41" s="1"/>
      <c r="D41" s="1"/>
      <c r="E41" s="1"/>
      <c r="G41" s="1"/>
    </row>
    <row r="42" spans="1:7" x14ac:dyDescent="0.3">
      <c r="A42" s="1"/>
      <c r="B42" s="1"/>
      <c r="C42" s="1"/>
      <c r="D42" s="1"/>
      <c r="E42" s="1"/>
      <c r="G42" s="1"/>
    </row>
    <row r="43" spans="1:7" x14ac:dyDescent="0.3">
      <c r="A43" s="1"/>
      <c r="B43" s="1"/>
      <c r="C43" s="1"/>
      <c r="D43" s="1"/>
      <c r="E43" s="1"/>
      <c r="G43" s="1"/>
    </row>
    <row r="44" spans="1:7" x14ac:dyDescent="0.3">
      <c r="A44" s="1"/>
      <c r="B44" s="1"/>
      <c r="C44" s="1"/>
      <c r="D44" s="1"/>
      <c r="E44" s="1"/>
    </row>
    <row r="45" spans="1:7" x14ac:dyDescent="0.3">
      <c r="A45" s="1"/>
      <c r="B45" s="1"/>
      <c r="C45" s="1"/>
      <c r="D45" s="1"/>
      <c r="E45" s="1"/>
      <c r="G45" s="1"/>
    </row>
    <row r="46" spans="1:7" x14ac:dyDescent="0.3">
      <c r="A46" s="1"/>
      <c r="B46" s="1"/>
      <c r="C46" s="1"/>
      <c r="D46" s="1"/>
      <c r="E46" s="1"/>
      <c r="G46" s="1"/>
    </row>
    <row r="47" spans="1:7" x14ac:dyDescent="0.3">
      <c r="A47" s="1"/>
      <c r="B47" s="1"/>
      <c r="C47" s="1"/>
      <c r="D47" s="1"/>
      <c r="E47" s="1"/>
      <c r="G47" s="1"/>
    </row>
    <row r="48" spans="1:7" x14ac:dyDescent="0.3">
      <c r="A48" s="1"/>
      <c r="B48" s="1"/>
      <c r="C48" s="1"/>
      <c r="D48" s="1"/>
      <c r="E48" s="1"/>
    </row>
    <row r="49" spans="1:7" x14ac:dyDescent="0.3">
      <c r="A49" s="1"/>
      <c r="B49" s="1"/>
      <c r="C49" s="1"/>
      <c r="D49" s="1"/>
      <c r="E49" s="1"/>
    </row>
    <row r="50" spans="1:7" x14ac:dyDescent="0.3">
      <c r="A50" s="1"/>
      <c r="B50" s="1"/>
      <c r="C50" s="1"/>
      <c r="D50" s="1"/>
      <c r="E50" s="1"/>
      <c r="G50" s="1"/>
    </row>
    <row r="51" spans="1:7" x14ac:dyDescent="0.3">
      <c r="A51" s="1"/>
      <c r="B51" s="1"/>
      <c r="C51" s="1"/>
      <c r="D51" s="1"/>
      <c r="E51" s="1"/>
    </row>
    <row r="52" spans="1:7" x14ac:dyDescent="0.3">
      <c r="A52" s="1"/>
      <c r="B52" s="1"/>
      <c r="C52" s="1"/>
      <c r="D52" s="1"/>
      <c r="E52" s="1"/>
    </row>
    <row r="53" spans="1:7" x14ac:dyDescent="0.3">
      <c r="A53" s="1"/>
      <c r="B53" s="1"/>
      <c r="C53" s="1"/>
      <c r="D53" s="1"/>
      <c r="E53" s="1"/>
      <c r="G53" s="1"/>
    </row>
    <row r="54" spans="1:7" x14ac:dyDescent="0.3">
      <c r="A54" s="1"/>
      <c r="B54" s="1"/>
      <c r="C54" s="1"/>
      <c r="D54" s="1"/>
      <c r="E54" s="1"/>
      <c r="F54" s="1"/>
      <c r="G54" s="1"/>
    </row>
    <row r="55" spans="1:7" x14ac:dyDescent="0.3">
      <c r="A55" s="1"/>
      <c r="B55" s="1"/>
      <c r="C55" s="1"/>
      <c r="D55" s="1"/>
      <c r="E55" s="1"/>
      <c r="G55" s="1"/>
    </row>
    <row r="56" spans="1:7" x14ac:dyDescent="0.3">
      <c r="A56" s="1"/>
      <c r="B56" s="1"/>
      <c r="C56" s="1"/>
      <c r="D56" s="1"/>
      <c r="E56" s="1"/>
      <c r="G56" s="1"/>
    </row>
    <row r="57" spans="1:7" x14ac:dyDescent="0.3">
      <c r="A57" s="1"/>
      <c r="B57" s="1"/>
      <c r="C57" s="1"/>
      <c r="D57" s="1"/>
      <c r="E57" s="1"/>
    </row>
    <row r="58" spans="1:7" x14ac:dyDescent="0.3">
      <c r="A58" s="1"/>
      <c r="B58" s="1"/>
      <c r="C58" s="1"/>
      <c r="D58" s="1"/>
      <c r="E58" s="1"/>
    </row>
    <row r="59" spans="1:7" x14ac:dyDescent="0.3">
      <c r="A59" s="1"/>
      <c r="B59" s="1"/>
      <c r="C59" s="1"/>
      <c r="D59" s="1"/>
      <c r="E59" s="1"/>
      <c r="F59" s="1"/>
      <c r="G59" s="1"/>
    </row>
    <row r="60" spans="1:7" x14ac:dyDescent="0.3">
      <c r="A60" s="1"/>
      <c r="B60" s="1"/>
      <c r="C60" s="1"/>
      <c r="D60" s="1"/>
      <c r="E60" s="1"/>
      <c r="G60" s="1"/>
    </row>
    <row r="61" spans="1:7" x14ac:dyDescent="0.3">
      <c r="A61" s="1"/>
      <c r="B61" s="1"/>
      <c r="C61" s="1"/>
      <c r="D61" s="1"/>
      <c r="E61" s="1"/>
      <c r="G61" s="1"/>
    </row>
    <row r="62" spans="1:7" x14ac:dyDescent="0.3">
      <c r="A62" s="1"/>
      <c r="B62" s="1"/>
      <c r="C62" s="1"/>
      <c r="D62" s="1"/>
      <c r="E62" s="1"/>
      <c r="G62" s="1"/>
    </row>
    <row r="63" spans="1:7" x14ac:dyDescent="0.3">
      <c r="A63" s="1"/>
      <c r="B63" s="1"/>
      <c r="C63" s="1"/>
      <c r="D63" s="1"/>
      <c r="E63" s="1"/>
    </row>
    <row r="64" spans="1:7" x14ac:dyDescent="0.3">
      <c r="A64" s="1"/>
      <c r="B64" s="1"/>
      <c r="C64" s="1"/>
      <c r="D64" s="1"/>
      <c r="E64" s="1"/>
    </row>
    <row r="65" spans="1:7" x14ac:dyDescent="0.3">
      <c r="A65" s="1"/>
      <c r="B65" s="1"/>
      <c r="C65" s="1"/>
      <c r="D65" s="1"/>
      <c r="E65" s="1"/>
    </row>
    <row r="66" spans="1:7" x14ac:dyDescent="0.3">
      <c r="A66" s="1"/>
      <c r="B66" s="1"/>
      <c r="C66" s="1"/>
      <c r="D66" s="1"/>
      <c r="E66" s="1"/>
    </row>
    <row r="67" spans="1:7" x14ac:dyDescent="0.3">
      <c r="A67" s="1"/>
      <c r="B67" s="1"/>
      <c r="C67" s="1"/>
      <c r="D67" s="1"/>
      <c r="E67" s="1"/>
    </row>
    <row r="68" spans="1:7" x14ac:dyDescent="0.3">
      <c r="A68" s="1"/>
      <c r="B68" s="1"/>
      <c r="C68" s="1"/>
      <c r="D68" s="1"/>
    </row>
    <row r="69" spans="1:7" x14ac:dyDescent="0.3">
      <c r="A69" s="1"/>
      <c r="B69" s="1"/>
      <c r="C69" s="1"/>
      <c r="D69" s="1"/>
      <c r="E69" s="1"/>
      <c r="G69" s="1"/>
    </row>
    <row r="70" spans="1:7" x14ac:dyDescent="0.3">
      <c r="A70" s="1"/>
      <c r="B70" s="1"/>
      <c r="C70" s="1"/>
      <c r="D70" s="1"/>
      <c r="E70" s="1"/>
      <c r="G70" s="1"/>
    </row>
    <row r="71" spans="1:7" x14ac:dyDescent="0.3">
      <c r="A71" s="1"/>
      <c r="B71" s="1"/>
      <c r="C71" s="1"/>
      <c r="D71" s="1"/>
      <c r="E71" s="1"/>
    </row>
    <row r="72" spans="1:7" x14ac:dyDescent="0.3">
      <c r="A72" s="1"/>
      <c r="B72" s="1"/>
      <c r="C72" s="1"/>
      <c r="D72" s="1"/>
      <c r="E72" s="1"/>
      <c r="G72" s="1"/>
    </row>
    <row r="73" spans="1:7" x14ac:dyDescent="0.3">
      <c r="A73" s="1"/>
      <c r="B73" s="1"/>
      <c r="C73" s="1"/>
      <c r="D73" s="1"/>
      <c r="E73" s="1"/>
      <c r="G73" s="1"/>
    </row>
    <row r="74" spans="1:7" x14ac:dyDescent="0.3">
      <c r="A74" s="1"/>
      <c r="B74" s="1"/>
      <c r="C74" s="1"/>
      <c r="D74" s="1"/>
      <c r="E74" s="1"/>
      <c r="G74" s="1"/>
    </row>
    <row r="75" spans="1:7" x14ac:dyDescent="0.3">
      <c r="A75" s="1"/>
      <c r="B75" s="1"/>
      <c r="C75" s="1"/>
      <c r="D75" s="1"/>
      <c r="E75" s="1"/>
      <c r="G75" s="1"/>
    </row>
    <row r="76" spans="1:7" x14ac:dyDescent="0.3">
      <c r="A76" s="1"/>
      <c r="B76" s="1"/>
      <c r="C76" s="1"/>
      <c r="D76" s="1"/>
      <c r="E76" s="1"/>
    </row>
    <row r="77" spans="1:7" x14ac:dyDescent="0.3">
      <c r="A77" s="1"/>
      <c r="B77" s="1"/>
      <c r="C77" s="1"/>
      <c r="D77" s="1"/>
      <c r="E77" s="1"/>
    </row>
    <row r="78" spans="1:7" x14ac:dyDescent="0.3">
      <c r="A78" s="1"/>
      <c r="B78" s="1"/>
      <c r="C78" s="1"/>
      <c r="D78" s="1"/>
      <c r="E78" s="1"/>
      <c r="G78" s="1"/>
    </row>
    <row r="79" spans="1:7" x14ac:dyDescent="0.3">
      <c r="A79" s="1"/>
      <c r="B79" s="1"/>
      <c r="C79" s="1"/>
      <c r="D79" s="1"/>
      <c r="E79" s="1"/>
      <c r="G79" s="1"/>
    </row>
    <row r="80" spans="1:7" x14ac:dyDescent="0.3">
      <c r="A80" s="1"/>
      <c r="B80" s="1"/>
      <c r="C80" s="1"/>
      <c r="D80" s="1"/>
      <c r="E80" s="1"/>
    </row>
    <row r="81" spans="1:7" x14ac:dyDescent="0.3">
      <c r="A81" s="1"/>
      <c r="B81" s="1"/>
      <c r="C81" s="1"/>
      <c r="D81" s="1"/>
      <c r="E81" s="1"/>
    </row>
    <row r="82" spans="1:7" x14ac:dyDescent="0.3">
      <c r="A82" s="1"/>
      <c r="B82" s="1"/>
      <c r="C82" s="1"/>
      <c r="D82" s="1"/>
      <c r="E82" s="1"/>
    </row>
    <row r="83" spans="1:7" x14ac:dyDescent="0.3">
      <c r="A83" s="1"/>
      <c r="B83" s="1"/>
      <c r="C83" s="1"/>
      <c r="D83" s="1"/>
      <c r="E83" s="1"/>
    </row>
    <row r="84" spans="1:7" x14ac:dyDescent="0.3">
      <c r="A84" s="1"/>
      <c r="B84" s="1"/>
      <c r="C84" s="1"/>
      <c r="D84" s="1"/>
      <c r="E84" s="1"/>
    </row>
    <row r="85" spans="1:7" x14ac:dyDescent="0.3">
      <c r="A85" s="1"/>
      <c r="B85" s="1"/>
      <c r="C85" s="1"/>
      <c r="D85" s="1"/>
      <c r="E85" s="1"/>
      <c r="G85" s="1"/>
    </row>
    <row r="86" spans="1:7" x14ac:dyDescent="0.3">
      <c r="A86" s="1"/>
      <c r="B86" s="1"/>
      <c r="C86" s="1"/>
      <c r="D86" s="1"/>
      <c r="E86" s="1"/>
      <c r="G86" s="1"/>
    </row>
    <row r="87" spans="1:7" x14ac:dyDescent="0.3">
      <c r="A87" s="1"/>
      <c r="B87" s="1"/>
      <c r="C87" s="1"/>
      <c r="D87" s="1"/>
      <c r="E87" s="1"/>
    </row>
    <row r="88" spans="1:7" x14ac:dyDescent="0.3">
      <c r="A88" s="1"/>
      <c r="B88" s="1"/>
      <c r="C88" s="1"/>
      <c r="D88" s="1"/>
      <c r="E88" s="1"/>
      <c r="G88" s="1"/>
    </row>
    <row r="89" spans="1:7" x14ac:dyDescent="0.3">
      <c r="A89" s="1"/>
      <c r="B89" s="1"/>
      <c r="C89" s="1"/>
      <c r="D89" s="1"/>
      <c r="E89" s="1"/>
      <c r="G89" s="1"/>
    </row>
    <row r="90" spans="1:7" x14ac:dyDescent="0.3">
      <c r="A90" s="1"/>
      <c r="B90" s="1"/>
      <c r="C90" s="1"/>
      <c r="D90" s="1"/>
      <c r="E90" s="1"/>
      <c r="G90" s="1"/>
    </row>
    <row r="91" spans="1:7" x14ac:dyDescent="0.3">
      <c r="A91" s="1"/>
      <c r="B91" s="1"/>
      <c r="C91" s="1"/>
      <c r="D91" s="1"/>
      <c r="E91" s="1"/>
    </row>
    <row r="92" spans="1:7" x14ac:dyDescent="0.3">
      <c r="A92" s="1"/>
      <c r="B92" s="1"/>
      <c r="C92" s="1"/>
      <c r="D92" s="1"/>
      <c r="E92" s="1"/>
    </row>
    <row r="93" spans="1:7" x14ac:dyDescent="0.3">
      <c r="A93" s="1"/>
      <c r="B93" s="1"/>
      <c r="C93" s="1"/>
      <c r="D93" s="1"/>
      <c r="E93" s="1"/>
      <c r="G93" s="1"/>
    </row>
    <row r="94" spans="1:7" x14ac:dyDescent="0.3">
      <c r="A94" s="1"/>
      <c r="B94" s="1"/>
      <c r="C94" s="1"/>
      <c r="D94" s="1"/>
      <c r="E94" s="1"/>
    </row>
    <row r="95" spans="1:7" x14ac:dyDescent="0.3">
      <c r="A95" s="1"/>
      <c r="B95" s="1"/>
      <c r="C95" s="1"/>
      <c r="D95" s="1"/>
      <c r="E95" s="1"/>
    </row>
    <row r="96" spans="1:7" x14ac:dyDescent="0.3">
      <c r="A96" s="1"/>
      <c r="B96" s="1"/>
      <c r="C96" s="1"/>
      <c r="D96" s="1"/>
      <c r="E96" s="1"/>
      <c r="G96" s="1"/>
    </row>
    <row r="97" spans="1:7" x14ac:dyDescent="0.3">
      <c r="A97" s="1"/>
      <c r="B97" s="1"/>
      <c r="C97" s="1"/>
      <c r="D97" s="1"/>
      <c r="E97" s="1"/>
      <c r="G97" s="1"/>
    </row>
    <row r="98" spans="1:7" x14ac:dyDescent="0.3">
      <c r="A98" s="1"/>
      <c r="B98" s="1"/>
      <c r="C98" s="1"/>
      <c r="D98" s="1"/>
      <c r="E98" s="1"/>
      <c r="G98" s="1"/>
    </row>
    <row r="99" spans="1:7" x14ac:dyDescent="0.3">
      <c r="A99" s="1"/>
      <c r="B99" s="1"/>
      <c r="C99" s="1"/>
      <c r="D99" s="1"/>
      <c r="E99" s="1"/>
      <c r="G99" s="1"/>
    </row>
    <row r="100" spans="1:7" x14ac:dyDescent="0.3">
      <c r="A100" s="1"/>
      <c r="B100" s="1"/>
      <c r="C100" s="1"/>
      <c r="D100" s="1"/>
      <c r="E100" s="1"/>
      <c r="G100" s="1"/>
    </row>
    <row r="101" spans="1:7" x14ac:dyDescent="0.3">
      <c r="A101" s="1"/>
      <c r="B101" s="1"/>
      <c r="C101" s="1"/>
      <c r="D101" s="1"/>
      <c r="E101" s="1"/>
      <c r="G101" s="1"/>
    </row>
    <row r="102" spans="1:7" x14ac:dyDescent="0.3">
      <c r="A102" s="1"/>
      <c r="B102" s="1"/>
      <c r="C102" s="1"/>
      <c r="D102" s="1"/>
      <c r="E102" s="1"/>
    </row>
    <row r="103" spans="1:7" x14ac:dyDescent="0.3">
      <c r="A103" s="1"/>
      <c r="B103" s="1"/>
      <c r="C103" s="1"/>
      <c r="D103" s="1"/>
      <c r="E103" s="1"/>
    </row>
    <row r="104" spans="1:7" x14ac:dyDescent="0.3">
      <c r="A104" s="1"/>
      <c r="B104" s="1"/>
      <c r="C104" s="1"/>
      <c r="D104" s="1"/>
      <c r="E104" s="1"/>
      <c r="G104" s="1"/>
    </row>
    <row r="105" spans="1:7" x14ac:dyDescent="0.3">
      <c r="A105" s="1"/>
      <c r="B105" s="1"/>
      <c r="C105" s="1"/>
      <c r="D105" s="1"/>
      <c r="E105" s="1"/>
      <c r="G105" s="1"/>
    </row>
    <row r="106" spans="1:7" x14ac:dyDescent="0.3">
      <c r="A106" s="1"/>
      <c r="B106" s="1"/>
      <c r="C106" s="1"/>
      <c r="D106" s="1"/>
      <c r="E106" s="1"/>
      <c r="G106" s="1"/>
    </row>
    <row r="107" spans="1:7" x14ac:dyDescent="0.3">
      <c r="A107" s="1"/>
      <c r="B107" s="1"/>
      <c r="C107" s="1"/>
      <c r="D107" s="1"/>
      <c r="E107" s="1"/>
      <c r="G107" s="1"/>
    </row>
    <row r="108" spans="1:7" x14ac:dyDescent="0.3">
      <c r="A108" s="1"/>
      <c r="B108" s="1"/>
      <c r="C108" s="1"/>
      <c r="D108" s="1"/>
      <c r="E108" s="1"/>
    </row>
    <row r="109" spans="1:7" x14ac:dyDescent="0.3">
      <c r="A109" s="1"/>
      <c r="B109" s="1"/>
      <c r="C109" s="1"/>
      <c r="D109" s="1"/>
      <c r="E109" s="1"/>
    </row>
    <row r="110" spans="1:7" x14ac:dyDescent="0.3">
      <c r="A110" s="1"/>
      <c r="B110" s="1"/>
      <c r="C110" s="1"/>
      <c r="D110" s="1"/>
      <c r="E110" s="1"/>
    </row>
    <row r="111" spans="1:7" x14ac:dyDescent="0.3">
      <c r="A111" s="1"/>
      <c r="B111" s="1"/>
      <c r="C111" s="1"/>
      <c r="D111" s="1"/>
      <c r="E111" s="1"/>
    </row>
    <row r="112" spans="1:7" x14ac:dyDescent="0.3">
      <c r="A112" s="1"/>
      <c r="B112" s="1"/>
      <c r="C112" s="1"/>
      <c r="D112" s="1"/>
      <c r="E112" s="1"/>
      <c r="G112" s="1"/>
    </row>
    <row r="113" spans="1:7" x14ac:dyDescent="0.3">
      <c r="A113" s="1"/>
      <c r="B113" s="1"/>
      <c r="C113" s="1"/>
      <c r="D113" s="1"/>
      <c r="E113" s="1"/>
    </row>
    <row r="114" spans="1:7" x14ac:dyDescent="0.3">
      <c r="A114" s="1"/>
      <c r="B114" s="1"/>
      <c r="C114" s="1"/>
      <c r="D114" s="1"/>
      <c r="E114" s="1"/>
    </row>
    <row r="115" spans="1:7" x14ac:dyDescent="0.3">
      <c r="A115" s="1"/>
      <c r="B115" s="1"/>
      <c r="C115" s="1"/>
      <c r="D115" s="1"/>
      <c r="E115" s="1"/>
    </row>
    <row r="116" spans="1:7" x14ac:dyDescent="0.3">
      <c r="A116" s="1"/>
      <c r="B116" s="1"/>
      <c r="C116" s="1"/>
      <c r="D116" s="1"/>
      <c r="E116" s="1"/>
    </row>
    <row r="117" spans="1:7" x14ac:dyDescent="0.3">
      <c r="A117" s="1"/>
      <c r="B117" s="1"/>
      <c r="C117" s="1"/>
      <c r="D117" s="1"/>
      <c r="E117" s="1"/>
    </row>
    <row r="118" spans="1:7" x14ac:dyDescent="0.3">
      <c r="A118" s="1"/>
      <c r="B118" s="1"/>
      <c r="C118" s="1"/>
      <c r="D118" s="1"/>
      <c r="E118" s="1"/>
      <c r="G118" s="1"/>
    </row>
    <row r="119" spans="1:7" x14ac:dyDescent="0.3">
      <c r="A119" s="1"/>
      <c r="B119" s="1"/>
      <c r="C119" s="1"/>
      <c r="D119" s="1"/>
      <c r="E119" s="1"/>
    </row>
    <row r="120" spans="1:7" x14ac:dyDescent="0.3">
      <c r="A120" s="1"/>
      <c r="B120" s="1"/>
      <c r="C120" s="1"/>
      <c r="D120" s="1"/>
      <c r="E120" s="1"/>
      <c r="G120" s="1"/>
    </row>
    <row r="121" spans="1:7" x14ac:dyDescent="0.3">
      <c r="A121" s="1"/>
      <c r="B121" s="1"/>
      <c r="C121" s="1"/>
      <c r="D121" s="1"/>
      <c r="E121" s="1"/>
      <c r="G121" s="1"/>
    </row>
    <row r="122" spans="1:7" x14ac:dyDescent="0.3">
      <c r="A122" s="1"/>
      <c r="B122" s="1"/>
      <c r="C122" s="1"/>
      <c r="D122" s="1"/>
      <c r="E122" s="1"/>
      <c r="F122" s="1"/>
    </row>
    <row r="123" spans="1:7" x14ac:dyDescent="0.3">
      <c r="A123" s="1"/>
      <c r="B123" s="1"/>
      <c r="C123" s="1"/>
      <c r="D123" s="1"/>
      <c r="E123" s="1"/>
    </row>
    <row r="124" spans="1:7" x14ac:dyDescent="0.3">
      <c r="A124" s="1"/>
      <c r="B124" s="1"/>
      <c r="C124" s="1"/>
      <c r="D124" s="1"/>
      <c r="E124" s="1"/>
      <c r="G124" s="1"/>
    </row>
    <row r="125" spans="1:7" x14ac:dyDescent="0.3">
      <c r="A125" s="1"/>
      <c r="B125" s="1"/>
      <c r="C125" s="1"/>
      <c r="D125" s="1"/>
      <c r="E125" s="1"/>
    </row>
    <row r="126" spans="1:7" x14ac:dyDescent="0.3">
      <c r="A126" s="1"/>
      <c r="B126" s="1"/>
      <c r="C126" s="1"/>
      <c r="D126" s="1"/>
      <c r="E126" s="1"/>
    </row>
    <row r="127" spans="1:7" x14ac:dyDescent="0.3">
      <c r="A127" s="1"/>
      <c r="B127" s="1"/>
      <c r="C127" s="1"/>
      <c r="D127" s="1"/>
      <c r="E127" s="1"/>
    </row>
    <row r="128" spans="1:7" x14ac:dyDescent="0.3">
      <c r="A128" s="1"/>
      <c r="B128" s="1"/>
      <c r="C128" s="1"/>
      <c r="D128" s="1"/>
      <c r="E128" s="1"/>
      <c r="G128" s="1"/>
    </row>
    <row r="129" spans="1:7" x14ac:dyDescent="0.3">
      <c r="A129" s="1"/>
      <c r="B129" s="1"/>
      <c r="C129" s="1"/>
      <c r="D129" s="1"/>
      <c r="E129" s="1"/>
    </row>
    <row r="130" spans="1:7" x14ac:dyDescent="0.3">
      <c r="A130" s="1"/>
      <c r="B130" s="1"/>
      <c r="C130" s="1"/>
      <c r="D130" s="1"/>
      <c r="E130" s="1"/>
    </row>
    <row r="131" spans="1:7" x14ac:dyDescent="0.3">
      <c r="A131" s="1"/>
      <c r="B131" s="1"/>
      <c r="C131" s="1"/>
      <c r="D131" s="1"/>
      <c r="E131" s="1"/>
    </row>
    <row r="132" spans="1:7" x14ac:dyDescent="0.3">
      <c r="A132" s="1"/>
      <c r="B132" s="1"/>
      <c r="C132" s="1"/>
      <c r="D132" s="1"/>
      <c r="E132" s="1"/>
      <c r="G132" s="1"/>
    </row>
    <row r="133" spans="1:7" x14ac:dyDescent="0.3">
      <c r="A133" s="1"/>
      <c r="B133" s="1"/>
      <c r="C133" s="1"/>
      <c r="D133" s="1"/>
      <c r="E133" s="1"/>
      <c r="G133" s="1"/>
    </row>
    <row r="134" spans="1:7" x14ac:dyDescent="0.3">
      <c r="A134" s="1"/>
      <c r="B134" s="1"/>
      <c r="C134" s="1"/>
      <c r="D134" s="1"/>
      <c r="E134" s="1"/>
    </row>
    <row r="135" spans="1:7" x14ac:dyDescent="0.3">
      <c r="A135" s="1"/>
      <c r="B135" s="1"/>
      <c r="C135" s="1"/>
      <c r="D135" s="1"/>
      <c r="E135" s="1"/>
    </row>
    <row r="136" spans="1:7" x14ac:dyDescent="0.3">
      <c r="A136" s="1"/>
      <c r="B136" s="1"/>
      <c r="C136" s="1"/>
      <c r="D136" s="1"/>
      <c r="E136" s="1"/>
    </row>
    <row r="137" spans="1:7" x14ac:dyDescent="0.3">
      <c r="A137" s="1"/>
      <c r="B137" s="1"/>
      <c r="C137" s="1"/>
      <c r="D137" s="1"/>
      <c r="E137" s="1"/>
    </row>
    <row r="138" spans="1:7" x14ac:dyDescent="0.3">
      <c r="A138" s="1"/>
      <c r="B138" s="1"/>
      <c r="C138" s="1"/>
      <c r="D138" s="1"/>
      <c r="E138" s="1"/>
    </row>
    <row r="139" spans="1:7" x14ac:dyDescent="0.3">
      <c r="A139" s="1"/>
      <c r="B139" s="1"/>
      <c r="C139" s="1"/>
      <c r="D139" s="1"/>
      <c r="E139" s="1"/>
      <c r="G139" s="1"/>
    </row>
    <row r="140" spans="1:7" x14ac:dyDescent="0.3">
      <c r="A140" s="1"/>
      <c r="B140" s="1"/>
      <c r="C140" s="1"/>
      <c r="D140" s="1"/>
      <c r="E140" s="1"/>
      <c r="G140" s="1"/>
    </row>
    <row r="141" spans="1:7" x14ac:dyDescent="0.3">
      <c r="A141" s="1"/>
      <c r="B141" s="1"/>
      <c r="C141" s="1"/>
      <c r="D141" s="1"/>
      <c r="E141" s="1"/>
      <c r="G141" s="1"/>
    </row>
    <row r="142" spans="1:7" x14ac:dyDescent="0.3">
      <c r="A142" s="1"/>
      <c r="B142" s="1"/>
      <c r="C142" s="1"/>
      <c r="D142" s="1"/>
      <c r="E142" s="1"/>
      <c r="G142" s="1"/>
    </row>
    <row r="143" spans="1:7" x14ac:dyDescent="0.3">
      <c r="A143" s="1"/>
      <c r="B143" s="1"/>
      <c r="C143" s="1"/>
      <c r="D143" s="1"/>
      <c r="E143" s="1"/>
      <c r="G143" s="1"/>
    </row>
    <row r="144" spans="1:7" x14ac:dyDescent="0.3">
      <c r="A144" s="1"/>
      <c r="B144" s="1"/>
      <c r="C144" s="1"/>
      <c r="D144" s="1"/>
      <c r="E144" s="1"/>
      <c r="G144" s="1"/>
    </row>
    <row r="145" spans="1:7" x14ac:dyDescent="0.3">
      <c r="A145" s="1"/>
      <c r="B145" s="1"/>
      <c r="C145" s="1"/>
      <c r="D145" s="1"/>
      <c r="E145" s="1"/>
      <c r="G145" s="1"/>
    </row>
    <row r="146" spans="1:7" x14ac:dyDescent="0.3">
      <c r="A146" s="1"/>
      <c r="B146" s="1"/>
      <c r="C146" s="1"/>
      <c r="D146" s="1"/>
      <c r="E146" s="1"/>
    </row>
    <row r="147" spans="1:7" x14ac:dyDescent="0.3">
      <c r="A147" s="1"/>
      <c r="B147" s="1"/>
      <c r="C147" s="1"/>
      <c r="D147" s="1"/>
      <c r="E147" s="1"/>
    </row>
    <row r="148" spans="1:7" x14ac:dyDescent="0.3">
      <c r="A148" s="1"/>
      <c r="B148" s="1"/>
      <c r="C148" s="1"/>
      <c r="D148" s="1"/>
      <c r="E148" s="1"/>
    </row>
    <row r="149" spans="1:7" x14ac:dyDescent="0.3">
      <c r="A149" s="1"/>
      <c r="B149" s="1"/>
      <c r="C149" s="1"/>
      <c r="D149" s="1"/>
      <c r="E149" s="1"/>
    </row>
    <row r="150" spans="1:7" x14ac:dyDescent="0.3">
      <c r="A150" s="1"/>
      <c r="B150" s="1"/>
      <c r="C150" s="1"/>
      <c r="D150" s="1"/>
      <c r="E150" s="1"/>
    </row>
    <row r="151" spans="1:7" x14ac:dyDescent="0.3">
      <c r="A151" s="1"/>
      <c r="B151" s="1"/>
      <c r="C151" s="1"/>
      <c r="D151" s="1"/>
      <c r="E151" s="1"/>
    </row>
    <row r="152" spans="1:7" x14ac:dyDescent="0.3">
      <c r="A152" s="1"/>
      <c r="B152" s="1"/>
      <c r="C152" s="1"/>
      <c r="D152" s="1"/>
      <c r="E152" s="1"/>
    </row>
    <row r="153" spans="1:7" x14ac:dyDescent="0.3">
      <c r="A153" s="1"/>
      <c r="B153" s="1"/>
      <c r="C153" s="1"/>
      <c r="D153" s="1"/>
      <c r="E153" s="1"/>
    </row>
    <row r="154" spans="1:7" x14ac:dyDescent="0.3">
      <c r="A154" s="1"/>
      <c r="B154" s="1"/>
      <c r="C154" s="1"/>
      <c r="D154" s="1"/>
      <c r="E154" s="1"/>
      <c r="G154" s="1"/>
    </row>
    <row r="155" spans="1:7" x14ac:dyDescent="0.3">
      <c r="A155" s="1"/>
      <c r="B155" s="1"/>
      <c r="C155" s="1"/>
      <c r="D155" s="1"/>
      <c r="E155" s="1"/>
    </row>
    <row r="156" spans="1:7" x14ac:dyDescent="0.3">
      <c r="A156" s="1"/>
      <c r="B156" s="1"/>
      <c r="C156" s="1"/>
      <c r="D156" s="1"/>
      <c r="E156" s="1"/>
    </row>
    <row r="157" spans="1:7" x14ac:dyDescent="0.3">
      <c r="A157" s="1"/>
      <c r="B157" s="1"/>
      <c r="C157" s="1"/>
      <c r="D157" s="1"/>
      <c r="E157" s="1"/>
      <c r="G157" s="1"/>
    </row>
    <row r="158" spans="1:7" x14ac:dyDescent="0.3">
      <c r="A158" s="1"/>
      <c r="B158" s="1"/>
      <c r="C158" s="1"/>
      <c r="D158" s="1"/>
      <c r="E158" s="1"/>
      <c r="F158" s="1"/>
      <c r="G158" s="1"/>
    </row>
    <row r="159" spans="1:7" x14ac:dyDescent="0.3">
      <c r="A159" s="1"/>
      <c r="B159" s="1"/>
      <c r="C159" s="1"/>
      <c r="D159" s="1"/>
      <c r="E159" s="1"/>
      <c r="G159" s="1"/>
    </row>
    <row r="160" spans="1:7" x14ac:dyDescent="0.3">
      <c r="A160" s="1"/>
      <c r="B160" s="1"/>
    </row>
    <row r="161" spans="1:8" x14ac:dyDescent="0.3">
      <c r="A161" s="1"/>
      <c r="B161" s="1"/>
      <c r="C161" s="1"/>
      <c r="D161" s="1"/>
      <c r="E161" s="1"/>
    </row>
    <row r="162" spans="1:8" x14ac:dyDescent="0.3">
      <c r="A162" s="1"/>
      <c r="B162" s="1"/>
      <c r="C162" s="1"/>
      <c r="D162" s="1"/>
      <c r="E162" s="1"/>
      <c r="G162" s="1"/>
    </row>
    <row r="163" spans="1:8" x14ac:dyDescent="0.3">
      <c r="A163" s="1"/>
      <c r="B163" s="1"/>
      <c r="C163" s="1"/>
      <c r="D163" s="1"/>
      <c r="E163" s="1"/>
    </row>
    <row r="164" spans="1:8" x14ac:dyDescent="0.3">
      <c r="A164" s="1"/>
      <c r="B164" s="1"/>
      <c r="C164" s="1"/>
      <c r="D164" s="1"/>
      <c r="E164" s="1"/>
    </row>
    <row r="165" spans="1:8" x14ac:dyDescent="0.3">
      <c r="A165" s="1"/>
      <c r="B165" s="1"/>
      <c r="C165" s="1"/>
      <c r="D165" s="1"/>
      <c r="E165" s="1"/>
    </row>
    <row r="166" spans="1:8" x14ac:dyDescent="0.3">
      <c r="A166" s="1"/>
      <c r="B166" s="1"/>
      <c r="C166" s="1"/>
      <c r="D166" s="1"/>
      <c r="E166" s="1"/>
      <c r="G166" s="1"/>
    </row>
    <row r="167" spans="1:8" x14ac:dyDescent="0.3">
      <c r="A167" s="1"/>
      <c r="B167" s="1"/>
      <c r="C167" s="1"/>
      <c r="D167" s="1"/>
      <c r="E167" s="1"/>
      <c r="H167" s="1"/>
    </row>
    <row r="168" spans="1:8" x14ac:dyDescent="0.3">
      <c r="A168" s="1"/>
      <c r="B168" s="1"/>
      <c r="C168" s="1"/>
      <c r="D168" s="1"/>
      <c r="E168" s="1"/>
    </row>
    <row r="169" spans="1:8" x14ac:dyDescent="0.3">
      <c r="A169" s="1"/>
      <c r="B169" s="1"/>
      <c r="C169" s="1"/>
      <c r="D169" s="1"/>
      <c r="E169" s="1"/>
    </row>
    <row r="170" spans="1:8" x14ac:dyDescent="0.3">
      <c r="A170" s="1"/>
      <c r="B170" s="1"/>
      <c r="C170" s="1"/>
      <c r="D170" s="1"/>
      <c r="E170" s="1"/>
      <c r="G170" s="1"/>
    </row>
    <row r="171" spans="1:8" x14ac:dyDescent="0.3">
      <c r="A171" s="1"/>
      <c r="B171" s="1"/>
      <c r="C171" s="1"/>
      <c r="D171" s="1"/>
      <c r="E171" s="1"/>
    </row>
    <row r="172" spans="1:8" x14ac:dyDescent="0.3">
      <c r="A172" s="1"/>
      <c r="B172" s="1"/>
      <c r="C172" s="1"/>
      <c r="D172" s="1"/>
      <c r="E172" s="1"/>
    </row>
    <row r="173" spans="1:8" x14ac:dyDescent="0.3">
      <c r="A173" s="1"/>
      <c r="B173" s="1"/>
      <c r="C173" s="1"/>
      <c r="D173" s="1"/>
      <c r="E173" s="1"/>
    </row>
    <row r="174" spans="1:8" x14ac:dyDescent="0.3">
      <c r="A174" s="1"/>
      <c r="B174" s="1"/>
      <c r="C174" s="1"/>
      <c r="D174" s="1"/>
      <c r="E174" s="1"/>
    </row>
    <row r="175" spans="1:8" x14ac:dyDescent="0.3">
      <c r="A175" s="1"/>
      <c r="B175" s="1"/>
      <c r="C175" s="1"/>
      <c r="D175" s="1"/>
      <c r="E175" s="1"/>
    </row>
    <row r="176" spans="1:8" x14ac:dyDescent="0.3">
      <c r="A176" s="1"/>
      <c r="B176" s="1"/>
      <c r="C176" s="1"/>
      <c r="D176" s="1"/>
      <c r="E176" s="1"/>
    </row>
    <row r="177" spans="1:8" x14ac:dyDescent="0.3">
      <c r="A177" s="1"/>
      <c r="B177" s="1"/>
      <c r="C177" s="1"/>
      <c r="D177" s="1"/>
      <c r="E177" s="1"/>
    </row>
    <row r="178" spans="1:8" x14ac:dyDescent="0.3">
      <c r="A178" s="1"/>
      <c r="B178" s="1"/>
      <c r="C178" s="1"/>
      <c r="D178" s="1"/>
      <c r="E178" s="1"/>
    </row>
    <row r="179" spans="1:8" x14ac:dyDescent="0.3">
      <c r="A179" s="1"/>
      <c r="B179" s="1"/>
      <c r="C179" s="1"/>
      <c r="D179" s="1"/>
      <c r="E179" s="1"/>
    </row>
    <row r="180" spans="1:8" x14ac:dyDescent="0.3">
      <c r="A180" s="1"/>
      <c r="B180" s="1"/>
      <c r="C180" s="1"/>
      <c r="D180" s="1"/>
      <c r="E180" s="1"/>
      <c r="G180" s="1"/>
    </row>
    <row r="181" spans="1:8" x14ac:dyDescent="0.3">
      <c r="A181" s="1"/>
      <c r="B181" s="1"/>
      <c r="C181" s="1"/>
      <c r="D181" s="1"/>
      <c r="E181" s="1"/>
    </row>
    <row r="182" spans="1:8" x14ac:dyDescent="0.3">
      <c r="A182" s="1"/>
      <c r="B182" s="1"/>
      <c r="C182" s="1"/>
      <c r="D182" s="1"/>
      <c r="G182" s="1"/>
    </row>
    <row r="183" spans="1:8" x14ac:dyDescent="0.3">
      <c r="A183" s="1"/>
      <c r="B183" s="1"/>
      <c r="C183" s="1"/>
      <c r="D183" s="1"/>
      <c r="E183" s="1"/>
    </row>
    <row r="184" spans="1:8" x14ac:dyDescent="0.3">
      <c r="A184" s="1"/>
      <c r="B184" s="1"/>
      <c r="C184" s="1"/>
      <c r="D184" s="1"/>
      <c r="E184" s="1"/>
      <c r="G184" s="1"/>
    </row>
    <row r="185" spans="1:8" x14ac:dyDescent="0.3">
      <c r="A185" s="1"/>
      <c r="B185" s="1"/>
      <c r="C185" s="1"/>
      <c r="D185" s="1"/>
      <c r="E185" s="1"/>
    </row>
    <row r="186" spans="1:8" x14ac:dyDescent="0.3">
      <c r="A186" s="1"/>
      <c r="B186" s="1"/>
      <c r="C186" s="1"/>
      <c r="D186" s="1"/>
      <c r="E186" s="1"/>
      <c r="G186" s="1"/>
    </row>
    <row r="187" spans="1:8" x14ac:dyDescent="0.3">
      <c r="A187" s="1"/>
      <c r="B187" s="1"/>
      <c r="C187" s="1"/>
      <c r="D187" s="1"/>
      <c r="E187" s="1"/>
    </row>
    <row r="188" spans="1:8" x14ac:dyDescent="0.3">
      <c r="A188" s="1"/>
      <c r="B188" s="1"/>
      <c r="C188" s="1"/>
      <c r="D188" s="1"/>
      <c r="E188" s="1"/>
      <c r="G188" s="1"/>
    </row>
    <row r="189" spans="1:8" x14ac:dyDescent="0.3">
      <c r="A189" s="1"/>
      <c r="B189" s="1"/>
      <c r="C189" s="1"/>
      <c r="D189" s="1"/>
      <c r="E189" s="1"/>
    </row>
    <row r="190" spans="1:8" x14ac:dyDescent="0.3">
      <c r="A190" s="1"/>
      <c r="B190" s="1"/>
      <c r="C190" s="1"/>
      <c r="D190" s="1"/>
      <c r="E190" s="1"/>
      <c r="H190" s="1"/>
    </row>
    <row r="191" spans="1:8" x14ac:dyDescent="0.3">
      <c r="A191" s="1"/>
      <c r="B191" s="1"/>
      <c r="C191" s="1"/>
      <c r="D191" s="1"/>
      <c r="E191" s="1"/>
      <c r="G191" s="1"/>
    </row>
    <row r="192" spans="1:8" x14ac:dyDescent="0.3">
      <c r="A192" s="1"/>
      <c r="B192" s="1"/>
      <c r="C192" s="1"/>
      <c r="D192" s="1"/>
      <c r="E192" s="1"/>
      <c r="G192" s="1"/>
    </row>
    <row r="193" spans="1:7" x14ac:dyDescent="0.3">
      <c r="A193" s="1"/>
      <c r="B193" s="1"/>
      <c r="C193" s="1"/>
      <c r="D193" s="1"/>
      <c r="E193" s="1"/>
    </row>
    <row r="194" spans="1:7" x14ac:dyDescent="0.3">
      <c r="A194" s="1"/>
      <c r="B194" s="1"/>
      <c r="C194" s="1"/>
      <c r="D194" s="1"/>
      <c r="E194" s="1"/>
    </row>
    <row r="195" spans="1:7" x14ac:dyDescent="0.3">
      <c r="A195" s="1"/>
      <c r="B195" s="1"/>
      <c r="C195" s="1"/>
      <c r="D195" s="1"/>
      <c r="E195" s="1"/>
    </row>
    <row r="196" spans="1:7" x14ac:dyDescent="0.3">
      <c r="A196" s="1"/>
      <c r="B196" s="1"/>
      <c r="C196" s="1"/>
      <c r="D196" s="1"/>
      <c r="E196" s="1"/>
      <c r="G196" s="1"/>
    </row>
    <row r="197" spans="1:7" x14ac:dyDescent="0.3">
      <c r="A197" s="1"/>
      <c r="B197" s="1"/>
      <c r="C197" s="1"/>
      <c r="D197" s="1"/>
      <c r="E197" s="1"/>
      <c r="G197" s="1"/>
    </row>
    <row r="198" spans="1:7" x14ac:dyDescent="0.3">
      <c r="A198" s="1"/>
      <c r="B198" s="1"/>
      <c r="C198" s="1"/>
      <c r="D198" s="1"/>
      <c r="E198" s="1"/>
    </row>
    <row r="199" spans="1:7" x14ac:dyDescent="0.3">
      <c r="A199" s="1"/>
      <c r="B199" s="1"/>
      <c r="C199" s="1"/>
      <c r="D199" s="1"/>
      <c r="E199" s="1"/>
      <c r="G199" s="1"/>
    </row>
    <row r="200" spans="1:7" x14ac:dyDescent="0.3">
      <c r="A200" s="1"/>
      <c r="B200" s="1"/>
      <c r="C200" s="1"/>
      <c r="D200" s="1"/>
    </row>
    <row r="201" spans="1:7" x14ac:dyDescent="0.3">
      <c r="A201" s="1"/>
      <c r="B201" s="1"/>
      <c r="C201" s="1"/>
      <c r="D201" s="1"/>
      <c r="E201" s="1"/>
    </row>
    <row r="202" spans="1:7" x14ac:dyDescent="0.3">
      <c r="A202" s="1"/>
      <c r="B202" s="1"/>
      <c r="C202" s="1"/>
      <c r="D202" s="1"/>
      <c r="E202" s="1"/>
    </row>
    <row r="203" spans="1:7" x14ac:dyDescent="0.3">
      <c r="A203" s="1"/>
      <c r="B203" s="1"/>
      <c r="C203" s="1"/>
      <c r="E203" s="1"/>
      <c r="F203" s="1"/>
      <c r="G203" s="1"/>
    </row>
    <row r="204" spans="1:7" x14ac:dyDescent="0.3">
      <c r="A204" s="1"/>
      <c r="B204" s="1"/>
      <c r="C204" s="1"/>
      <c r="D204" s="1"/>
      <c r="E204" s="1"/>
    </row>
    <row r="205" spans="1:7" x14ac:dyDescent="0.3">
      <c r="A205" s="1"/>
      <c r="B205" s="1"/>
      <c r="C205" s="1"/>
      <c r="D205" s="1"/>
      <c r="E205" s="1"/>
    </row>
    <row r="206" spans="1:7" x14ac:dyDescent="0.3">
      <c r="A206" s="1"/>
      <c r="B206" s="1"/>
      <c r="C206" s="1"/>
      <c r="D206" s="1"/>
      <c r="E206" s="1"/>
      <c r="G206" s="1"/>
    </row>
    <row r="207" spans="1:7" x14ac:dyDescent="0.3">
      <c r="A207" s="1"/>
      <c r="B207" s="1"/>
      <c r="C207" s="1"/>
      <c r="D207" s="1"/>
      <c r="E207" s="1"/>
      <c r="G207" s="1"/>
    </row>
    <row r="208" spans="1:7" x14ac:dyDescent="0.3">
      <c r="A208" s="1"/>
      <c r="B208" s="1"/>
      <c r="C208" s="1"/>
      <c r="D208" s="1"/>
      <c r="E208" s="1"/>
      <c r="G208" s="1"/>
    </row>
    <row r="209" spans="1:7" x14ac:dyDescent="0.3">
      <c r="A209" s="1"/>
      <c r="B209" s="1"/>
      <c r="C209" s="1"/>
      <c r="D209" s="1"/>
      <c r="E209" s="1"/>
      <c r="G209" s="1"/>
    </row>
    <row r="210" spans="1:7" x14ac:dyDescent="0.3">
      <c r="A210" s="1"/>
      <c r="B210" s="1"/>
      <c r="C210" s="1"/>
      <c r="D210" s="1"/>
      <c r="E210" s="1"/>
    </row>
    <row r="211" spans="1:7" x14ac:dyDescent="0.3">
      <c r="A211" s="1"/>
      <c r="B211" s="1"/>
      <c r="C211" s="1"/>
      <c r="D211" s="1"/>
      <c r="E211" s="1"/>
    </row>
    <row r="212" spans="1:7" x14ac:dyDescent="0.3">
      <c r="A212" s="1"/>
      <c r="B212" s="1"/>
      <c r="C212" s="1"/>
      <c r="D212" s="1"/>
      <c r="E212" s="1"/>
    </row>
    <row r="213" spans="1:7" x14ac:dyDescent="0.3">
      <c r="A213" s="1"/>
      <c r="B213" s="1"/>
      <c r="C213" s="1"/>
      <c r="D213" s="1"/>
      <c r="E213" s="1"/>
    </row>
    <row r="214" spans="1:7" x14ac:dyDescent="0.3">
      <c r="A214" s="1"/>
      <c r="B214" s="1"/>
      <c r="C214" s="1"/>
      <c r="D214" s="1"/>
      <c r="E214" s="1"/>
      <c r="G214" s="1"/>
    </row>
    <row r="215" spans="1:7" x14ac:dyDescent="0.3">
      <c r="A215" s="1"/>
      <c r="B215" s="1"/>
      <c r="C215" s="1"/>
      <c r="D215" s="1"/>
      <c r="E215" s="1"/>
      <c r="G215" s="1"/>
    </row>
    <row r="216" spans="1:7" x14ac:dyDescent="0.3">
      <c r="A216" s="1"/>
      <c r="B216" s="1"/>
      <c r="C216" s="1"/>
      <c r="D216" s="1"/>
      <c r="E216" s="1"/>
      <c r="G216" s="1"/>
    </row>
    <row r="217" spans="1:7" x14ac:dyDescent="0.3">
      <c r="A217" s="1"/>
      <c r="B217" s="1"/>
      <c r="C217" s="1"/>
      <c r="D217" s="1"/>
      <c r="E217" s="1"/>
      <c r="G217" s="1"/>
    </row>
    <row r="218" spans="1:7" x14ac:dyDescent="0.3">
      <c r="A218" s="1"/>
      <c r="B218" s="1"/>
      <c r="C218" s="1"/>
      <c r="D218" s="1"/>
      <c r="E218" s="1"/>
    </row>
    <row r="219" spans="1:7" x14ac:dyDescent="0.3">
      <c r="A219" s="1"/>
      <c r="B219" s="1"/>
      <c r="C219" s="1"/>
      <c r="D219" s="1"/>
      <c r="E219" s="1"/>
      <c r="G219" s="1"/>
    </row>
    <row r="220" spans="1:7" x14ac:dyDescent="0.3">
      <c r="A220" s="1"/>
      <c r="B220" s="1"/>
      <c r="C220" s="1"/>
      <c r="D220" s="1"/>
      <c r="E220" s="1"/>
      <c r="G220" s="1"/>
    </row>
    <row r="221" spans="1:7" x14ac:dyDescent="0.3">
      <c r="A221" s="1"/>
      <c r="B221" s="1"/>
      <c r="C221" s="1"/>
      <c r="D221" s="1"/>
      <c r="E221" s="1"/>
    </row>
    <row r="222" spans="1:7" x14ac:dyDescent="0.3">
      <c r="A222" s="1"/>
      <c r="B222" s="1"/>
      <c r="C222" s="1"/>
      <c r="D222" s="1"/>
      <c r="E222" s="1"/>
      <c r="G222" s="1"/>
    </row>
    <row r="223" spans="1:7" x14ac:dyDescent="0.3">
      <c r="A223" s="1"/>
      <c r="B223" s="1"/>
      <c r="C223" s="1"/>
      <c r="D223" s="1"/>
    </row>
    <row r="224" spans="1:7" x14ac:dyDescent="0.3">
      <c r="A224" s="1"/>
      <c r="B224" s="1"/>
      <c r="C224" s="1"/>
      <c r="D224" s="1"/>
      <c r="E224" s="1"/>
      <c r="G224" s="1"/>
    </row>
    <row r="225" spans="1:8" x14ac:dyDescent="0.3">
      <c r="A225" s="1"/>
      <c r="B225" s="1"/>
      <c r="C225" s="1"/>
      <c r="D225" s="1"/>
      <c r="E225" s="1"/>
      <c r="G225" s="1"/>
    </row>
    <row r="226" spans="1:8" x14ac:dyDescent="0.3">
      <c r="A226" s="1"/>
      <c r="B226" s="1"/>
      <c r="C226" s="1"/>
      <c r="D226" s="1"/>
      <c r="E226" s="1"/>
      <c r="G226" s="1"/>
    </row>
    <row r="227" spans="1:8" x14ac:dyDescent="0.3">
      <c r="A227" s="1"/>
      <c r="B227" s="1"/>
      <c r="C227" s="1"/>
      <c r="D227" s="1"/>
      <c r="E227" s="1"/>
      <c r="G227" s="1"/>
    </row>
    <row r="228" spans="1:8" x14ac:dyDescent="0.3">
      <c r="A228" s="1"/>
      <c r="B228" s="1"/>
      <c r="C228" s="1"/>
      <c r="D228" s="1"/>
      <c r="E228" s="1"/>
    </row>
    <row r="229" spans="1:8" x14ac:dyDescent="0.3">
      <c r="A229" s="1"/>
      <c r="B229" s="1"/>
      <c r="C229" s="1"/>
      <c r="D229" s="1"/>
      <c r="E229" s="1"/>
      <c r="G229" s="1"/>
    </row>
    <row r="230" spans="1:8" x14ac:dyDescent="0.3">
      <c r="A230" s="1"/>
      <c r="B230" s="1"/>
      <c r="C230" s="1"/>
      <c r="D230" s="1"/>
      <c r="E230" s="1"/>
    </row>
    <row r="231" spans="1:8" x14ac:dyDescent="0.3">
      <c r="A231" s="1"/>
      <c r="B231" s="1"/>
    </row>
    <row r="232" spans="1:8" x14ac:dyDescent="0.3">
      <c r="A232" s="1"/>
      <c r="B232" s="1"/>
      <c r="C232" s="1"/>
      <c r="D232" s="1"/>
      <c r="E232" s="1"/>
      <c r="G232" s="1"/>
    </row>
    <row r="233" spans="1:8" x14ac:dyDescent="0.3">
      <c r="A233" s="1"/>
      <c r="B233" s="1"/>
      <c r="C233" s="1"/>
      <c r="D233" s="1"/>
      <c r="E233" s="1"/>
    </row>
    <row r="234" spans="1:8" x14ac:dyDescent="0.3">
      <c r="A234" s="1"/>
      <c r="B234" s="1"/>
      <c r="C234" s="1"/>
      <c r="D234" s="1"/>
      <c r="E234" s="1"/>
      <c r="G234" s="1"/>
    </row>
    <row r="235" spans="1:8" x14ac:dyDescent="0.3">
      <c r="A235" s="1"/>
      <c r="B235" s="1"/>
      <c r="C235" s="1"/>
      <c r="D235" s="1"/>
      <c r="G235" s="1"/>
    </row>
    <row r="236" spans="1:8" x14ac:dyDescent="0.3">
      <c r="A236" s="1"/>
      <c r="B236" s="1"/>
      <c r="C236" s="1"/>
      <c r="D236" s="1"/>
      <c r="E236" s="1"/>
    </row>
    <row r="237" spans="1:8" x14ac:dyDescent="0.3">
      <c r="A237" s="1"/>
      <c r="B237" s="1"/>
      <c r="C237" s="1"/>
      <c r="D237" s="1"/>
      <c r="E237" s="1"/>
      <c r="F237" s="1"/>
      <c r="G237" s="1"/>
    </row>
    <row r="238" spans="1:8" x14ac:dyDescent="0.3">
      <c r="A238" s="1"/>
      <c r="B238" s="1"/>
      <c r="C238" s="1"/>
      <c r="F238" s="1"/>
    </row>
    <row r="239" spans="1:8" x14ac:dyDescent="0.3">
      <c r="A239" s="1"/>
      <c r="B239" s="1"/>
      <c r="C239" s="1"/>
      <c r="D239" s="1"/>
      <c r="E239" s="1"/>
      <c r="G239" s="1"/>
      <c r="H239"/>
    </row>
    <row r="240" spans="1:8" x14ac:dyDescent="0.3">
      <c r="A240" s="1"/>
      <c r="B240" s="1"/>
      <c r="C240" s="1"/>
      <c r="D240" s="1"/>
      <c r="E240" s="1"/>
    </row>
    <row r="241" spans="1:7" x14ac:dyDescent="0.3">
      <c r="A241" s="1"/>
      <c r="B241" s="1"/>
      <c r="C241" s="1"/>
      <c r="D241" s="1"/>
      <c r="F241" s="1"/>
      <c r="G241" s="1"/>
    </row>
    <row r="242" spans="1:7" x14ac:dyDescent="0.3">
      <c r="A242" s="1"/>
      <c r="B242" s="1"/>
      <c r="C242" s="1"/>
      <c r="D242" s="1"/>
      <c r="E242" s="1"/>
      <c r="F242" s="1"/>
      <c r="G242" s="1"/>
    </row>
    <row r="243" spans="1:7" x14ac:dyDescent="0.3">
      <c r="A243" s="1"/>
      <c r="B243" s="1"/>
      <c r="C243" s="1"/>
      <c r="D243" s="1"/>
      <c r="E243" s="1"/>
      <c r="F243" s="1"/>
      <c r="G243" s="1"/>
    </row>
    <row r="244" spans="1:7" x14ac:dyDescent="0.3">
      <c r="A244" s="1"/>
      <c r="B244" s="1"/>
      <c r="C244" s="1"/>
      <c r="D244" s="1"/>
      <c r="E244" s="1"/>
      <c r="F244" s="1"/>
      <c r="G244" s="1"/>
    </row>
    <row r="245" spans="1:7" x14ac:dyDescent="0.3">
      <c r="A245" s="1"/>
      <c r="B245" s="1"/>
      <c r="C245" s="1"/>
      <c r="D245" s="1"/>
      <c r="E245" s="1"/>
      <c r="F245" s="1"/>
      <c r="G245" s="1"/>
    </row>
    <row r="246" spans="1:7" x14ac:dyDescent="0.3">
      <c r="A246" s="1"/>
      <c r="B246" s="1"/>
      <c r="C246" s="1"/>
      <c r="D246" s="1"/>
      <c r="E246" s="1"/>
      <c r="F246" s="1"/>
    </row>
    <row r="247" spans="1:7" x14ac:dyDescent="0.3">
      <c r="A247" s="1"/>
      <c r="B247" s="1"/>
      <c r="C247" s="1"/>
      <c r="D247" s="1"/>
      <c r="F247" s="1"/>
    </row>
    <row r="248" spans="1:7" x14ac:dyDescent="0.3">
      <c r="A248" s="1"/>
      <c r="B248" s="1"/>
      <c r="C248" s="1"/>
      <c r="D248" s="1"/>
      <c r="E248" s="1"/>
      <c r="F248" s="1"/>
      <c r="G248" s="1"/>
    </row>
    <row r="249" spans="1:7" x14ac:dyDescent="0.3">
      <c r="A249" s="1"/>
      <c r="B249" s="1"/>
      <c r="C249" s="1"/>
      <c r="D249" s="1"/>
      <c r="E249" s="1"/>
      <c r="F249" s="1"/>
    </row>
    <row r="250" spans="1:7" x14ac:dyDescent="0.3">
      <c r="A250" s="1"/>
      <c r="B250" s="1"/>
      <c r="C250" s="1"/>
      <c r="F250" s="1"/>
    </row>
    <row r="251" spans="1:7" x14ac:dyDescent="0.3">
      <c r="A251" s="1"/>
      <c r="B251" s="1"/>
      <c r="C251" s="1"/>
      <c r="D251" s="1"/>
      <c r="E251" s="1"/>
      <c r="F251" s="1"/>
    </row>
    <row r="252" spans="1:7" x14ac:dyDescent="0.3">
      <c r="A252" s="1"/>
      <c r="B252" s="1"/>
      <c r="C252" s="1"/>
      <c r="D252" s="1"/>
      <c r="F252" s="1"/>
    </row>
    <row r="253" spans="1:7" x14ac:dyDescent="0.3">
      <c r="A253" s="1"/>
      <c r="B253" s="1"/>
      <c r="C253" s="1"/>
      <c r="D253" s="1"/>
      <c r="E253" s="1"/>
      <c r="F253" s="1"/>
      <c r="G253" s="1"/>
    </row>
    <row r="254" spans="1:7" x14ac:dyDescent="0.3">
      <c r="A254" s="1"/>
      <c r="B254" s="1"/>
    </row>
    <row r="255" spans="1:7" x14ac:dyDescent="0.3">
      <c r="A255" s="1"/>
      <c r="B255" s="1"/>
    </row>
    <row r="256" spans="1:7" x14ac:dyDescent="0.3">
      <c r="A256" s="1"/>
      <c r="B256" s="1"/>
    </row>
    <row r="257" spans="1:8" x14ac:dyDescent="0.3">
      <c r="A257" s="1"/>
      <c r="B257" s="1"/>
    </row>
    <row r="258" spans="1:8" x14ac:dyDescent="0.3">
      <c r="A258" s="1"/>
      <c r="B258" s="1"/>
      <c r="C258" s="1"/>
      <c r="D258" s="1"/>
      <c r="E258" s="1"/>
      <c r="F258" s="1"/>
    </row>
    <row r="259" spans="1:8" x14ac:dyDescent="0.3">
      <c r="A259" s="1"/>
      <c r="B259" s="1"/>
      <c r="C259" s="1"/>
      <c r="D259" s="1"/>
      <c r="E259" s="1"/>
      <c r="F259" s="1"/>
    </row>
    <row r="260" spans="1:8" x14ac:dyDescent="0.3">
      <c r="A260" s="1"/>
      <c r="B260" s="1"/>
    </row>
    <row r="261" spans="1:8" x14ac:dyDescent="0.3">
      <c r="A261" s="1"/>
      <c r="B261" s="1"/>
      <c r="C261" s="1"/>
      <c r="D261" s="1"/>
      <c r="E261" s="1"/>
      <c r="G261" s="1"/>
      <c r="H261"/>
    </row>
    <row r="262" spans="1:8" x14ac:dyDescent="0.3">
      <c r="A262" s="1"/>
      <c r="B262" s="1"/>
      <c r="C262" s="1"/>
      <c r="F262" s="1"/>
    </row>
    <row r="263" spans="1:8" x14ac:dyDescent="0.3">
      <c r="A263" s="1"/>
      <c r="B263" s="1"/>
      <c r="F263" s="1"/>
    </row>
    <row r="264" spans="1:8" x14ac:dyDescent="0.3">
      <c r="A264" s="1"/>
      <c r="B264" s="1"/>
      <c r="C264" s="1"/>
      <c r="D264" s="1"/>
      <c r="E264" s="1"/>
      <c r="F264" s="1"/>
      <c r="G264" s="1"/>
    </row>
    <row r="265" spans="1:8" x14ac:dyDescent="0.3">
      <c r="A265" s="1"/>
      <c r="B265" s="1"/>
      <c r="C265" s="1"/>
      <c r="D265" s="1"/>
      <c r="F265" s="1"/>
    </row>
    <row r="266" spans="1:8" x14ac:dyDescent="0.3">
      <c r="A266" s="1"/>
      <c r="B266" s="1"/>
      <c r="F266" s="1"/>
    </row>
    <row r="267" spans="1:8" x14ac:dyDescent="0.3">
      <c r="A267" s="1"/>
      <c r="B267" s="1"/>
      <c r="C267" s="1"/>
      <c r="D267" s="1"/>
      <c r="E267" s="1"/>
      <c r="F267" s="1"/>
      <c r="G267" s="1"/>
    </row>
    <row r="268" spans="1:8" x14ac:dyDescent="0.3">
      <c r="A268" s="1"/>
      <c r="B268" s="1"/>
      <c r="C268" s="1"/>
      <c r="D268" s="1"/>
    </row>
    <row r="269" spans="1:8" x14ac:dyDescent="0.3">
      <c r="A269" s="1"/>
      <c r="B269" s="1"/>
      <c r="C269" s="1"/>
      <c r="D269" s="1"/>
      <c r="E269" s="1"/>
      <c r="F269" s="1"/>
      <c r="G269" s="1"/>
    </row>
    <row r="270" spans="1:8" x14ac:dyDescent="0.3">
      <c r="A270" s="1"/>
      <c r="B270" s="1"/>
      <c r="C270" s="1"/>
      <c r="D270" s="1"/>
      <c r="E270" s="1"/>
      <c r="F270" s="1"/>
      <c r="G270" s="1"/>
    </row>
    <row r="271" spans="1:8" x14ac:dyDescent="0.3">
      <c r="A271" s="1"/>
      <c r="B271" s="1"/>
      <c r="C271" s="1"/>
      <c r="D271" s="1"/>
      <c r="E271" s="1"/>
      <c r="F271" s="1"/>
    </row>
    <row r="272" spans="1:8" x14ac:dyDescent="0.3">
      <c r="A272" s="1"/>
      <c r="B272" s="1"/>
      <c r="C272" s="1"/>
      <c r="D272" s="1"/>
      <c r="E272" s="1"/>
      <c r="F272" s="1"/>
      <c r="G272" s="1"/>
    </row>
    <row r="273" spans="1:7" x14ac:dyDescent="0.3">
      <c r="A273" s="1"/>
      <c r="B273" s="1"/>
      <c r="C273" s="1"/>
      <c r="D273" s="1"/>
      <c r="F273" s="1"/>
      <c r="G273" s="1"/>
    </row>
    <row r="274" spans="1:7" x14ac:dyDescent="0.3">
      <c r="A274" s="1"/>
      <c r="B274" s="1"/>
      <c r="C274" s="1"/>
      <c r="D274" s="1"/>
      <c r="E274" s="1"/>
      <c r="F274" s="1"/>
    </row>
    <row r="275" spans="1:7" x14ac:dyDescent="0.3">
      <c r="A275" s="1"/>
      <c r="B275" s="1"/>
      <c r="C275" s="1"/>
      <c r="D275" s="1"/>
      <c r="E275" s="1"/>
      <c r="F275" s="1"/>
      <c r="G275" s="1"/>
    </row>
    <row r="276" spans="1:7" x14ac:dyDescent="0.3">
      <c r="A276" s="1"/>
      <c r="B276" s="1"/>
      <c r="C276" s="1"/>
      <c r="D276" s="1"/>
      <c r="E276" s="1"/>
      <c r="F276" s="1"/>
    </row>
    <row r="277" spans="1:7" x14ac:dyDescent="0.3">
      <c r="A277" s="1"/>
      <c r="B277" s="1"/>
      <c r="C277" s="1"/>
      <c r="D277" s="1"/>
      <c r="E277" s="1"/>
      <c r="F277" s="1"/>
    </row>
    <row r="278" spans="1:7" x14ac:dyDescent="0.3">
      <c r="A278" s="1"/>
      <c r="B278" s="1"/>
      <c r="C278" s="1"/>
      <c r="D278" s="1"/>
      <c r="E278" s="1"/>
      <c r="F278" s="1"/>
      <c r="G278" s="1"/>
    </row>
    <row r="279" spans="1:7" x14ac:dyDescent="0.3">
      <c r="A279" s="1"/>
      <c r="B279" s="1"/>
      <c r="C279" s="1"/>
      <c r="D279" s="1"/>
      <c r="E279" s="1"/>
      <c r="F279" s="1"/>
    </row>
    <row r="280" spans="1:7" x14ac:dyDescent="0.3">
      <c r="A280" s="1"/>
      <c r="B280" s="1"/>
      <c r="C280" s="1"/>
      <c r="D280" s="1"/>
      <c r="E280" s="1"/>
      <c r="F280" s="1"/>
    </row>
    <row r="281" spans="1:7" x14ac:dyDescent="0.3">
      <c r="A281" s="1"/>
      <c r="B281" s="1"/>
      <c r="C281" s="1"/>
      <c r="D281" s="1"/>
      <c r="E281" s="1"/>
      <c r="F281" s="1"/>
      <c r="G281" s="1"/>
    </row>
    <row r="282" spans="1:7" x14ac:dyDescent="0.3">
      <c r="A282" s="1"/>
      <c r="B282" s="1"/>
      <c r="C282" s="1"/>
      <c r="D282" s="1"/>
      <c r="F282" s="1"/>
      <c r="G282" s="1"/>
    </row>
    <row r="283" spans="1:7" x14ac:dyDescent="0.3">
      <c r="A283" s="1"/>
      <c r="B283" s="1"/>
      <c r="C283" s="1"/>
      <c r="F283" s="1"/>
    </row>
    <row r="284" spans="1:7" x14ac:dyDescent="0.3">
      <c r="A284" s="1"/>
      <c r="B284" s="1"/>
      <c r="C284" s="1"/>
      <c r="D284" s="1"/>
      <c r="E284" s="1"/>
      <c r="F284" s="1"/>
      <c r="G284" s="1"/>
    </row>
    <row r="285" spans="1:7" x14ac:dyDescent="0.3">
      <c r="A285" s="1"/>
      <c r="B285" s="1"/>
      <c r="F285" s="1"/>
    </row>
    <row r="286" spans="1:7" x14ac:dyDescent="0.3">
      <c r="A286" s="1"/>
      <c r="B286" s="1"/>
      <c r="C286" s="1"/>
      <c r="D286" s="1"/>
      <c r="E286" s="1"/>
      <c r="F286" s="1"/>
    </row>
    <row r="287" spans="1:7" x14ac:dyDescent="0.3">
      <c r="A287" s="1"/>
      <c r="B287" s="1"/>
      <c r="C287" s="1"/>
      <c r="D287" s="1"/>
      <c r="F287" s="1"/>
      <c r="G287" s="1"/>
    </row>
    <row r="288" spans="1:7" x14ac:dyDescent="0.3">
      <c r="A288" s="1"/>
      <c r="B288" s="1"/>
      <c r="C288" s="1"/>
      <c r="D288" s="1"/>
      <c r="E288" s="1"/>
      <c r="F288" s="1"/>
    </row>
    <row r="289" spans="1:7" x14ac:dyDescent="0.3">
      <c r="A289" s="1"/>
      <c r="B289" s="1"/>
      <c r="C289" s="1"/>
      <c r="D289" s="1"/>
      <c r="E289" s="1"/>
      <c r="F289" s="1"/>
    </row>
    <row r="290" spans="1:7" x14ac:dyDescent="0.3">
      <c r="A290" s="1"/>
      <c r="B290" s="1"/>
      <c r="C290" s="1"/>
      <c r="D290" s="1"/>
      <c r="E290" s="1"/>
      <c r="F290" s="1"/>
      <c r="G290" s="1"/>
    </row>
    <row r="291" spans="1:7" x14ac:dyDescent="0.3">
      <c r="A291" s="1"/>
      <c r="B291" s="1"/>
      <c r="C291" s="1"/>
      <c r="D291" s="1"/>
      <c r="F291" s="1"/>
    </row>
    <row r="292" spans="1:7" x14ac:dyDescent="0.3">
      <c r="A292" s="1"/>
      <c r="B292" s="1"/>
      <c r="C292" s="1"/>
      <c r="D292" s="1"/>
      <c r="E292" s="1"/>
      <c r="F292" s="1"/>
      <c r="G292" s="1"/>
    </row>
    <row r="293" spans="1:7" x14ac:dyDescent="0.3">
      <c r="A293" s="1"/>
      <c r="B293" s="1"/>
      <c r="C293" s="1"/>
      <c r="D293" s="1"/>
      <c r="E293" s="1"/>
      <c r="F293" s="1"/>
    </row>
    <row r="294" spans="1:7" x14ac:dyDescent="0.3">
      <c r="A294" s="1"/>
      <c r="B294" s="1"/>
      <c r="C294" s="1"/>
      <c r="D294" s="1"/>
      <c r="E294" s="1"/>
      <c r="F294" s="1"/>
      <c r="G294" s="1"/>
    </row>
    <row r="295" spans="1:7" x14ac:dyDescent="0.3">
      <c r="A295" s="1"/>
      <c r="B295" s="1"/>
      <c r="C295" s="1"/>
      <c r="D295" s="1"/>
      <c r="E295" s="1"/>
      <c r="F295" s="1"/>
      <c r="G295" s="1"/>
    </row>
    <row r="296" spans="1:7" x14ac:dyDescent="0.3">
      <c r="A296" s="1"/>
      <c r="B296" s="1"/>
      <c r="C296" s="1"/>
      <c r="D296" s="1"/>
      <c r="E296" s="1"/>
      <c r="F296" s="1"/>
    </row>
    <row r="297" spans="1:7" x14ac:dyDescent="0.3">
      <c r="A297" s="1"/>
      <c r="B297" s="1"/>
      <c r="C297" s="1"/>
      <c r="D297" s="1"/>
      <c r="E297" s="1"/>
      <c r="F297" s="1"/>
    </row>
    <row r="298" spans="1:7" x14ac:dyDescent="0.3">
      <c r="A298" s="1"/>
      <c r="B298" s="1"/>
    </row>
    <row r="299" spans="1:7" x14ac:dyDescent="0.3">
      <c r="A299" s="1"/>
      <c r="B299" s="1"/>
    </row>
    <row r="300" spans="1:7" x14ac:dyDescent="0.3">
      <c r="A300" s="1"/>
      <c r="B300" s="1"/>
      <c r="C300" s="1"/>
      <c r="D300" s="1"/>
      <c r="F300" s="1"/>
      <c r="G300" s="1"/>
    </row>
    <row r="301" spans="1:7" x14ac:dyDescent="0.3">
      <c r="A301" s="1"/>
      <c r="B301" s="1"/>
      <c r="C301" s="1"/>
      <c r="D301" s="1"/>
      <c r="E301" s="1"/>
      <c r="F301" s="1"/>
    </row>
    <row r="302" spans="1:7" x14ac:dyDescent="0.3">
      <c r="A302" s="1"/>
      <c r="B302" s="1"/>
      <c r="C302" s="1"/>
      <c r="D302" s="1"/>
      <c r="E302" s="1"/>
      <c r="F302" s="1"/>
    </row>
    <row r="303" spans="1:7" x14ac:dyDescent="0.3">
      <c r="A303" s="1"/>
      <c r="B303" s="1"/>
      <c r="C303" s="1"/>
      <c r="D303" s="1"/>
      <c r="F303" s="1"/>
      <c r="G303" s="1"/>
    </row>
    <row r="304" spans="1:7" x14ac:dyDescent="0.3">
      <c r="A304" s="1"/>
      <c r="B304" s="1"/>
      <c r="C304" s="1"/>
      <c r="D304" s="1"/>
      <c r="F304" s="1"/>
      <c r="G304" s="1"/>
    </row>
    <row r="305" spans="1:7" x14ac:dyDescent="0.3">
      <c r="A305" s="1"/>
      <c r="B305" s="1"/>
      <c r="C305" s="1"/>
      <c r="D305" s="1"/>
      <c r="E305" s="1"/>
      <c r="F305" s="1"/>
    </row>
    <row r="306" spans="1:7" x14ac:dyDescent="0.3">
      <c r="A306" s="1"/>
      <c r="B306" s="1"/>
      <c r="C306" s="1"/>
      <c r="D306" s="1"/>
      <c r="E306" s="1"/>
      <c r="F306" s="1"/>
      <c r="G306" s="1"/>
    </row>
    <row r="307" spans="1:7" x14ac:dyDescent="0.3">
      <c r="A307" s="1"/>
      <c r="B307" s="1"/>
      <c r="C307" s="1"/>
      <c r="D307" s="1"/>
      <c r="F307" s="1"/>
      <c r="G307" s="1"/>
    </row>
    <row r="308" spans="1:7" x14ac:dyDescent="0.3">
      <c r="A308" s="1"/>
      <c r="B308" s="1"/>
      <c r="C308" s="1"/>
      <c r="D308" s="1"/>
      <c r="F308" s="1"/>
      <c r="G308" s="1"/>
    </row>
    <row r="309" spans="1:7" x14ac:dyDescent="0.3">
      <c r="A309" s="1"/>
      <c r="B309" s="1"/>
      <c r="C309" s="1"/>
      <c r="D309" s="1"/>
      <c r="F309" s="1"/>
      <c r="G309" s="1"/>
    </row>
    <row r="310" spans="1:7" x14ac:dyDescent="0.3">
      <c r="A310" s="1"/>
      <c r="B310" s="1"/>
      <c r="C310" s="1"/>
      <c r="D310" s="1"/>
      <c r="E310" s="1"/>
      <c r="F310" s="1"/>
      <c r="G310" s="1"/>
    </row>
    <row r="311" spans="1:7" x14ac:dyDescent="0.3">
      <c r="A311" s="1"/>
      <c r="B311" s="1"/>
      <c r="C311" s="1"/>
      <c r="D311" s="1"/>
      <c r="F311" s="1"/>
    </row>
    <row r="312" spans="1:7" x14ac:dyDescent="0.3">
      <c r="A312" s="1"/>
      <c r="B312" s="1"/>
      <c r="C312" s="1"/>
      <c r="F312" s="1"/>
    </row>
    <row r="313" spans="1:7" x14ac:dyDescent="0.3">
      <c r="A313" s="1"/>
      <c r="B313" s="1"/>
      <c r="C313" s="1"/>
      <c r="D313" s="1"/>
      <c r="E313" s="1"/>
      <c r="F313" s="1"/>
      <c r="G313" s="1"/>
    </row>
    <row r="314" spans="1:7" x14ac:dyDescent="0.3">
      <c r="A314" s="1"/>
      <c r="B314" s="1"/>
      <c r="C314" s="1"/>
      <c r="D314" s="1"/>
      <c r="E314" s="1"/>
      <c r="F314" s="1"/>
    </row>
    <row r="315" spans="1:7" x14ac:dyDescent="0.3">
      <c r="A315" s="1"/>
      <c r="B315" s="1"/>
      <c r="C315" s="1"/>
      <c r="D315" s="1"/>
      <c r="E315" s="1"/>
      <c r="F315" s="1"/>
      <c r="G315" s="1"/>
    </row>
    <row r="316" spans="1:7" x14ac:dyDescent="0.3">
      <c r="A316" s="1"/>
      <c r="B316" s="1"/>
      <c r="C316" s="1"/>
      <c r="D316" s="1"/>
      <c r="E316" s="1"/>
      <c r="F316" s="1"/>
    </row>
    <row r="317" spans="1:7" x14ac:dyDescent="0.3">
      <c r="A317" s="1"/>
      <c r="B317" s="1"/>
      <c r="C317" s="1"/>
      <c r="F317" s="1"/>
    </row>
    <row r="318" spans="1:7" x14ac:dyDescent="0.3">
      <c r="A318" s="1"/>
      <c r="B318" s="1"/>
      <c r="C318" s="1"/>
      <c r="F318" s="1"/>
    </row>
    <row r="319" spans="1:7" x14ac:dyDescent="0.3">
      <c r="A319" s="1"/>
      <c r="B319" s="1"/>
      <c r="C319" s="1"/>
      <c r="F319" s="1"/>
    </row>
    <row r="320" spans="1:7" x14ac:dyDescent="0.3">
      <c r="A320" s="1"/>
      <c r="B320" s="1"/>
      <c r="C320" s="1"/>
      <c r="F320" s="1"/>
    </row>
    <row r="321" spans="1:7" x14ac:dyDescent="0.3">
      <c r="A321" s="1"/>
      <c r="B321" s="1"/>
      <c r="C321" s="1"/>
      <c r="F321" s="1"/>
    </row>
    <row r="322" spans="1:7" x14ac:dyDescent="0.3">
      <c r="A322" s="1"/>
      <c r="B322" s="1"/>
      <c r="C322" s="1"/>
      <c r="D322" s="1"/>
      <c r="F322" s="1"/>
    </row>
    <row r="323" spans="1:7" x14ac:dyDescent="0.3">
      <c r="A323" s="1"/>
      <c r="B323" s="1"/>
      <c r="C323" s="1"/>
      <c r="D323" s="1"/>
      <c r="E323" s="1"/>
      <c r="F323" s="1"/>
      <c r="G323" s="1"/>
    </row>
    <row r="324" spans="1:7" x14ac:dyDescent="0.3">
      <c r="A324" s="1"/>
      <c r="B324" s="1"/>
      <c r="C324" s="1"/>
      <c r="D324" s="1"/>
      <c r="E324" s="1"/>
      <c r="F324" s="1"/>
    </row>
    <row r="325" spans="1:7" x14ac:dyDescent="0.3">
      <c r="A325" s="1"/>
      <c r="B325" s="1"/>
      <c r="C325" s="1"/>
      <c r="D325" s="1"/>
      <c r="F325" s="1"/>
    </row>
    <row r="326" spans="1:7" x14ac:dyDescent="0.3">
      <c r="A326" s="1"/>
      <c r="B326" s="1"/>
      <c r="C326" s="1"/>
      <c r="D326" s="1"/>
      <c r="E326" s="1"/>
      <c r="F326" s="1"/>
      <c r="G326" s="1"/>
    </row>
    <row r="327" spans="1:7" x14ac:dyDescent="0.3">
      <c r="A327" s="1"/>
      <c r="B327" s="1"/>
      <c r="C327" s="1"/>
      <c r="D327" s="1"/>
      <c r="E327" s="1"/>
      <c r="F327" s="1"/>
      <c r="G327" s="1"/>
    </row>
    <row r="328" spans="1:7" x14ac:dyDescent="0.3">
      <c r="A328" s="1"/>
      <c r="B328" s="1"/>
      <c r="C328" s="1"/>
      <c r="D328" s="1"/>
      <c r="E328" s="1"/>
      <c r="F328" s="1"/>
      <c r="G328" s="1"/>
    </row>
    <row r="329" spans="1:7" x14ac:dyDescent="0.3">
      <c r="A329" s="1"/>
      <c r="B329" s="1"/>
      <c r="C329" s="1"/>
      <c r="D329" s="1"/>
      <c r="E329" s="1"/>
      <c r="F329" s="1"/>
      <c r="G329" s="1"/>
    </row>
    <row r="330" spans="1:7" x14ac:dyDescent="0.3">
      <c r="A330" s="1"/>
      <c r="B330" s="1"/>
      <c r="C330" s="1"/>
      <c r="D330" s="1"/>
      <c r="E330" s="1"/>
      <c r="F330" s="1"/>
      <c r="G330" s="1"/>
    </row>
    <row r="331" spans="1:7" x14ac:dyDescent="0.3">
      <c r="A331" s="1"/>
      <c r="B331" s="1"/>
      <c r="C331" s="1"/>
      <c r="F331" s="1"/>
    </row>
    <row r="332" spans="1:7" x14ac:dyDescent="0.3">
      <c r="A332" s="1"/>
      <c r="B332" s="1"/>
      <c r="C332" s="1"/>
      <c r="F332" s="1"/>
    </row>
    <row r="333" spans="1:7" x14ac:dyDescent="0.3">
      <c r="A333" s="1"/>
      <c r="B333" s="1"/>
      <c r="C333" s="1"/>
      <c r="D333" s="1"/>
      <c r="F333" s="1"/>
    </row>
    <row r="334" spans="1:7" x14ac:dyDescent="0.3">
      <c r="A334" s="1"/>
      <c r="B334" s="1"/>
      <c r="C334" s="1"/>
      <c r="D334" s="1"/>
      <c r="F334" s="1"/>
      <c r="G334" s="1"/>
    </row>
    <row r="335" spans="1:7" x14ac:dyDescent="0.3">
      <c r="A335" s="1"/>
      <c r="B335" s="1"/>
      <c r="F335" s="1"/>
    </row>
    <row r="336" spans="1:7" x14ac:dyDescent="0.3">
      <c r="A336" s="1"/>
      <c r="B336" s="1"/>
      <c r="C336" s="1"/>
      <c r="D336" s="1"/>
      <c r="E336" s="1"/>
      <c r="F336" s="1"/>
    </row>
    <row r="337" spans="1:7" x14ac:dyDescent="0.3">
      <c r="A337" s="1"/>
      <c r="B337" s="1"/>
      <c r="C337" s="1"/>
      <c r="D337" s="1"/>
      <c r="E337" s="1"/>
      <c r="F337" s="1"/>
    </row>
    <row r="338" spans="1:7" x14ac:dyDescent="0.3">
      <c r="A338" s="1"/>
      <c r="B338" s="1"/>
      <c r="C338" s="1"/>
      <c r="D338" s="1"/>
      <c r="E338" s="1"/>
      <c r="F338" s="1"/>
    </row>
    <row r="339" spans="1:7" x14ac:dyDescent="0.3">
      <c r="A339" s="1"/>
      <c r="B339" s="1"/>
      <c r="C339" s="1"/>
      <c r="D339" s="1"/>
      <c r="E339" s="1"/>
      <c r="F339" s="1"/>
    </row>
    <row r="340" spans="1:7" x14ac:dyDescent="0.3">
      <c r="A340" s="1"/>
      <c r="B340" s="1"/>
      <c r="C340" s="1"/>
      <c r="D340" s="1"/>
      <c r="E340" s="1"/>
      <c r="F340" s="1"/>
    </row>
    <row r="341" spans="1:7" x14ac:dyDescent="0.3">
      <c r="A341" s="1"/>
      <c r="B341" s="1"/>
      <c r="C341" s="1"/>
      <c r="D341" s="1"/>
      <c r="E341" s="1"/>
      <c r="F341" s="1"/>
    </row>
    <row r="342" spans="1:7" x14ac:dyDescent="0.3">
      <c r="A342" s="1"/>
      <c r="B342" s="1"/>
      <c r="C342" s="1"/>
      <c r="D342" s="1"/>
      <c r="E342" s="1"/>
      <c r="F342" s="1"/>
    </row>
    <row r="343" spans="1:7" x14ac:dyDescent="0.3">
      <c r="A343" s="1"/>
      <c r="B343" s="1"/>
      <c r="C343" s="1"/>
      <c r="D343" s="1"/>
      <c r="E343" s="1"/>
      <c r="F343" s="1"/>
      <c r="G343" s="1"/>
    </row>
    <row r="344" spans="1:7" x14ac:dyDescent="0.3">
      <c r="A344" s="1"/>
      <c r="B344" s="1"/>
      <c r="C344" s="1"/>
      <c r="D344" s="1"/>
      <c r="E344" s="1"/>
      <c r="F344" s="1"/>
      <c r="G344" s="1"/>
    </row>
    <row r="345" spans="1:7" x14ac:dyDescent="0.3">
      <c r="A345" s="1"/>
      <c r="B345" s="1"/>
      <c r="C345" s="1"/>
      <c r="D345" s="1"/>
      <c r="E345" s="1"/>
      <c r="F345" s="1"/>
      <c r="G345" s="1"/>
    </row>
    <row r="346" spans="1:7" x14ac:dyDescent="0.3">
      <c r="A346" s="1"/>
      <c r="B346" s="1"/>
      <c r="C346" s="1"/>
      <c r="D346" s="1"/>
      <c r="E346" s="1"/>
      <c r="F346" s="1"/>
      <c r="G346" s="1"/>
    </row>
    <row r="347" spans="1:7" x14ac:dyDescent="0.3">
      <c r="A347" s="1"/>
      <c r="B347" s="1"/>
      <c r="C347" s="1"/>
      <c r="D347" s="1"/>
      <c r="E347" s="1"/>
      <c r="F347" s="1"/>
      <c r="G347" s="1"/>
    </row>
    <row r="348" spans="1:7" x14ac:dyDescent="0.3">
      <c r="A348" s="1"/>
      <c r="B348" s="1"/>
      <c r="C348" s="1"/>
      <c r="D348" s="1"/>
      <c r="E348" s="1"/>
      <c r="F348" s="1"/>
      <c r="G348" s="1"/>
    </row>
    <row r="349" spans="1:7" x14ac:dyDescent="0.3">
      <c r="A349" s="1"/>
      <c r="B349" s="1"/>
      <c r="C349" s="1"/>
      <c r="D349" s="1"/>
      <c r="F349" s="1"/>
      <c r="G349" s="1"/>
    </row>
    <row r="350" spans="1:7" x14ac:dyDescent="0.3">
      <c r="A350" s="1"/>
      <c r="B350" s="1"/>
      <c r="C350" s="1"/>
      <c r="D350" s="1"/>
      <c r="E350" s="1"/>
      <c r="F350" s="1"/>
      <c r="G350" s="1"/>
    </row>
    <row r="351" spans="1:7" x14ac:dyDescent="0.3">
      <c r="A351" s="1"/>
      <c r="B351" s="1"/>
      <c r="C351" s="1"/>
      <c r="D351" s="1"/>
      <c r="E351" s="1"/>
      <c r="F351" s="1"/>
      <c r="G351" s="1"/>
    </row>
    <row r="352" spans="1:7" x14ac:dyDescent="0.3">
      <c r="A352" s="1"/>
      <c r="B352" s="1"/>
      <c r="C352" s="1"/>
      <c r="D352" s="1"/>
      <c r="E352" s="1"/>
      <c r="F352" s="1"/>
      <c r="G352" s="1"/>
    </row>
    <row r="353" spans="1:7" x14ac:dyDescent="0.3">
      <c r="A353" s="1"/>
      <c r="B353" s="1"/>
      <c r="C353" s="1"/>
      <c r="D353" s="1"/>
      <c r="E353" s="1"/>
      <c r="F353" s="1"/>
      <c r="G353" s="1"/>
    </row>
    <row r="354" spans="1:7" x14ac:dyDescent="0.3">
      <c r="A354" s="1"/>
      <c r="B354" s="1"/>
      <c r="C354" s="1"/>
      <c r="D354" s="1"/>
      <c r="E354" s="1"/>
      <c r="F354" s="1"/>
      <c r="G354" s="1"/>
    </row>
    <row r="355" spans="1:7" x14ac:dyDescent="0.3">
      <c r="A355" s="1"/>
      <c r="B355" s="1"/>
      <c r="C355" s="1"/>
      <c r="D355" s="1"/>
      <c r="E355" s="1"/>
      <c r="F355" s="1"/>
      <c r="G355" s="1"/>
    </row>
    <row r="356" spans="1:7" x14ac:dyDescent="0.3">
      <c r="A356" s="1"/>
      <c r="B356" s="1"/>
      <c r="C356" s="1"/>
      <c r="D356" s="1"/>
      <c r="E356" s="1"/>
      <c r="F356" s="1"/>
    </row>
    <row r="357" spans="1:7" x14ac:dyDescent="0.3">
      <c r="A357" s="1"/>
      <c r="B357" s="1"/>
      <c r="C357" s="1"/>
      <c r="D357" s="1"/>
      <c r="E357" s="1"/>
      <c r="F357" s="1"/>
    </row>
    <row r="358" spans="1:7" x14ac:dyDescent="0.3">
      <c r="A358" s="1"/>
      <c r="B358" s="1"/>
      <c r="C358" s="1"/>
      <c r="D358" s="1"/>
      <c r="E358" s="1"/>
      <c r="F358" s="1"/>
    </row>
    <row r="359" spans="1:7" x14ac:dyDescent="0.3">
      <c r="A359" s="1"/>
      <c r="B359" s="1"/>
      <c r="C359" s="1"/>
      <c r="D359" s="1"/>
      <c r="F359" s="1"/>
    </row>
    <row r="360" spans="1:7" x14ac:dyDescent="0.3">
      <c r="A360" s="1"/>
      <c r="B360" s="1"/>
      <c r="C360" s="1"/>
      <c r="D360" s="1"/>
      <c r="E360" s="1"/>
      <c r="F360" s="1"/>
    </row>
    <row r="361" spans="1:7" x14ac:dyDescent="0.3">
      <c r="A361" s="1"/>
      <c r="B361" s="1"/>
      <c r="C361" s="1"/>
      <c r="F361" s="1"/>
    </row>
    <row r="362" spans="1:7" x14ac:dyDescent="0.3">
      <c r="A362" s="1"/>
      <c r="B362" s="1"/>
    </row>
    <row r="363" spans="1:7" x14ac:dyDescent="0.3">
      <c r="A363" s="1"/>
      <c r="B363" s="1"/>
      <c r="C363" s="1"/>
      <c r="F363" s="1"/>
    </row>
    <row r="364" spans="1:7" x14ac:dyDescent="0.3">
      <c r="A364" s="1"/>
      <c r="B364" s="1"/>
      <c r="C364" s="1"/>
      <c r="D364" s="1"/>
      <c r="E364" s="1"/>
      <c r="F364" s="1"/>
    </row>
    <row r="365" spans="1:7" x14ac:dyDescent="0.3">
      <c r="A365" s="1"/>
      <c r="B365" s="1"/>
      <c r="C365" s="1"/>
      <c r="D365" s="1"/>
      <c r="F365" s="1"/>
    </row>
    <row r="366" spans="1:7" x14ac:dyDescent="0.3">
      <c r="A366" s="1"/>
      <c r="B366" s="1"/>
      <c r="C366" s="1"/>
      <c r="D366" s="1"/>
      <c r="E366" s="1"/>
      <c r="F366" s="1"/>
      <c r="G366" s="1"/>
    </row>
    <row r="367" spans="1:7" x14ac:dyDescent="0.3">
      <c r="A367" s="1"/>
      <c r="B367" s="1"/>
      <c r="C367" s="1"/>
      <c r="F367" s="1"/>
    </row>
    <row r="368" spans="1:7" x14ac:dyDescent="0.3">
      <c r="A368" s="1"/>
      <c r="B368" s="1"/>
      <c r="C368" s="1"/>
      <c r="D368" s="1"/>
      <c r="F368" s="1"/>
    </row>
    <row r="369" spans="1:7" x14ac:dyDescent="0.3">
      <c r="A369" s="1"/>
      <c r="B369" s="1"/>
      <c r="C369" s="1"/>
      <c r="D369" s="1"/>
      <c r="E369" s="1"/>
      <c r="F369" s="1"/>
      <c r="G369" s="1"/>
    </row>
    <row r="370" spans="1:7" x14ac:dyDescent="0.3">
      <c r="A370" s="1"/>
      <c r="B370" s="1"/>
      <c r="C370" s="1"/>
      <c r="D370" s="1"/>
      <c r="E370" s="1"/>
      <c r="G370" s="1"/>
    </row>
    <row r="371" spans="1:7" x14ac:dyDescent="0.3">
      <c r="A371" s="1"/>
      <c r="B371" s="1"/>
      <c r="C371" s="1"/>
      <c r="D371" s="1"/>
      <c r="E371" s="1"/>
      <c r="F371" s="1"/>
      <c r="G371" s="1"/>
    </row>
    <row r="372" spans="1:7" x14ac:dyDescent="0.3">
      <c r="A372" s="1"/>
      <c r="B372" s="1"/>
      <c r="C372" s="1"/>
      <c r="D372" s="1"/>
      <c r="E372" s="1"/>
      <c r="F372" s="1"/>
    </row>
    <row r="373" spans="1:7" x14ac:dyDescent="0.3">
      <c r="A373" s="1"/>
      <c r="B373" s="1"/>
      <c r="C373" s="1"/>
      <c r="F373" s="1"/>
    </row>
    <row r="374" spans="1:7" x14ac:dyDescent="0.3">
      <c r="A374" s="1"/>
      <c r="B374" s="1"/>
      <c r="C374" s="1"/>
      <c r="D374" s="1"/>
      <c r="E374" s="1"/>
      <c r="F374" s="1"/>
    </row>
    <row r="375" spans="1:7" x14ac:dyDescent="0.3">
      <c r="A375" s="1"/>
      <c r="B375" s="1"/>
      <c r="C375" s="1"/>
      <c r="D375" s="1"/>
      <c r="E375" s="1"/>
      <c r="F375" s="1"/>
    </row>
    <row r="376" spans="1:7" x14ac:dyDescent="0.3">
      <c r="A376" s="1"/>
      <c r="B376" s="1"/>
      <c r="C376" s="1"/>
      <c r="D376" s="1"/>
      <c r="E376" s="1"/>
      <c r="F376" s="1"/>
    </row>
    <row r="377" spans="1:7" x14ac:dyDescent="0.3">
      <c r="A377" s="1"/>
      <c r="B377" s="1"/>
      <c r="C377" s="1"/>
      <c r="D377" s="1"/>
      <c r="E377" s="1"/>
      <c r="G377" s="1"/>
    </row>
    <row r="378" spans="1:7" x14ac:dyDescent="0.3">
      <c r="A378" s="1"/>
      <c r="B378" s="1"/>
      <c r="C378" s="1"/>
      <c r="D378" s="1"/>
      <c r="E378" s="1"/>
      <c r="F378" s="1"/>
      <c r="G378" s="1"/>
    </row>
    <row r="379" spans="1:7" x14ac:dyDescent="0.3">
      <c r="A379" s="1"/>
      <c r="B379" s="1"/>
    </row>
    <row r="380" spans="1:7" x14ac:dyDescent="0.3">
      <c r="A380" s="1"/>
      <c r="B380" s="1"/>
      <c r="C380" s="1"/>
      <c r="D380" s="1"/>
      <c r="F380" s="1"/>
    </row>
    <row r="381" spans="1:7" x14ac:dyDescent="0.3">
      <c r="A381" s="1"/>
      <c r="B381" s="1"/>
      <c r="C381" s="1"/>
      <c r="D381" s="1"/>
      <c r="E381" s="1"/>
      <c r="F381" s="1"/>
    </row>
    <row r="382" spans="1:7" x14ac:dyDescent="0.3">
      <c r="A382" s="1"/>
      <c r="B382" s="1"/>
      <c r="C382" s="1"/>
      <c r="D382" s="1"/>
      <c r="F382" s="1"/>
    </row>
    <row r="383" spans="1:7" x14ac:dyDescent="0.3">
      <c r="A383" s="1"/>
      <c r="B383" s="1"/>
      <c r="C383" s="1"/>
      <c r="D383" s="1"/>
      <c r="F383" s="1"/>
    </row>
    <row r="384" spans="1:7" x14ac:dyDescent="0.3">
      <c r="A384" s="1"/>
      <c r="B384" s="1"/>
      <c r="C384" s="1"/>
      <c r="D384" s="1"/>
      <c r="E384" s="1"/>
      <c r="G384" s="1"/>
    </row>
    <row r="385" spans="1:7" x14ac:dyDescent="0.3">
      <c r="A385" s="1"/>
      <c r="B385" s="1"/>
      <c r="C385" s="1"/>
      <c r="D385" s="1"/>
      <c r="E385" s="1"/>
      <c r="G385" s="1"/>
    </row>
    <row r="386" spans="1:7" x14ac:dyDescent="0.3">
      <c r="A386" s="1"/>
      <c r="B386" s="1"/>
      <c r="C386" s="1"/>
      <c r="F386" s="1"/>
    </row>
    <row r="387" spans="1:7" x14ac:dyDescent="0.3">
      <c r="A387" s="1"/>
      <c r="B387" s="1"/>
      <c r="C387" s="1"/>
      <c r="D387" s="1"/>
      <c r="E387" s="1"/>
      <c r="F387" s="1"/>
      <c r="G387" s="1"/>
    </row>
    <row r="388" spans="1:7" x14ac:dyDescent="0.3">
      <c r="A388" s="1"/>
      <c r="B388" s="1"/>
      <c r="C388" s="1"/>
      <c r="D388" s="1"/>
      <c r="E388" s="1"/>
      <c r="F388" s="1"/>
      <c r="G388" s="1"/>
    </row>
    <row r="389" spans="1:7" x14ac:dyDescent="0.3">
      <c r="A389" s="1"/>
      <c r="B389" s="1"/>
      <c r="C389" s="1"/>
      <c r="D389" s="1"/>
      <c r="E389" s="1"/>
      <c r="F389" s="1"/>
      <c r="G389" s="1"/>
    </row>
    <row r="390" spans="1:7" x14ac:dyDescent="0.3">
      <c r="A390" s="1"/>
      <c r="B390" s="1"/>
      <c r="C390" s="1"/>
      <c r="D390" s="1"/>
      <c r="F390" s="1"/>
    </row>
    <row r="391" spans="1:7" x14ac:dyDescent="0.3">
      <c r="A391" s="1"/>
      <c r="B391" s="1"/>
      <c r="C391" s="1"/>
      <c r="D391" s="1"/>
      <c r="F391" s="1"/>
    </row>
    <row r="392" spans="1:7" x14ac:dyDescent="0.3">
      <c r="A392" s="1"/>
      <c r="B392" s="1"/>
      <c r="C392" s="1"/>
      <c r="D392" s="1"/>
      <c r="F392" s="1"/>
    </row>
    <row r="393" spans="1:7" x14ac:dyDescent="0.3">
      <c r="A393" s="1"/>
      <c r="B393" s="1"/>
      <c r="C393" s="1"/>
      <c r="D393" s="1"/>
      <c r="F393" s="1"/>
    </row>
    <row r="394" spans="1:7" x14ac:dyDescent="0.3">
      <c r="A394" s="1"/>
      <c r="B394" s="1"/>
      <c r="C394" s="1"/>
      <c r="D394" s="1"/>
      <c r="E394" s="1"/>
      <c r="F394" s="1"/>
      <c r="G394" s="1"/>
    </row>
    <row r="395" spans="1:7" x14ac:dyDescent="0.3">
      <c r="A395" s="1"/>
      <c r="B395" s="1"/>
      <c r="C395" s="1"/>
      <c r="D395" s="1"/>
      <c r="F395" s="1"/>
      <c r="G395" s="1"/>
    </row>
    <row r="396" spans="1:7" x14ac:dyDescent="0.3">
      <c r="A396" s="1"/>
      <c r="B396" s="1"/>
      <c r="C396" s="1"/>
      <c r="D396" s="1"/>
      <c r="F396" s="1"/>
      <c r="G396" s="1"/>
    </row>
    <row r="397" spans="1:7" x14ac:dyDescent="0.3">
      <c r="A397" s="1"/>
      <c r="B397" s="1"/>
      <c r="C397" s="1"/>
      <c r="D397" s="1"/>
      <c r="E397" s="1"/>
      <c r="F397" s="1"/>
      <c r="G397" s="1"/>
    </row>
    <row r="398" spans="1:7" x14ac:dyDescent="0.3">
      <c r="A398" s="1"/>
      <c r="B398" s="1"/>
      <c r="C398" s="1"/>
      <c r="F398" s="1"/>
    </row>
    <row r="399" spans="1:7" x14ac:dyDescent="0.3">
      <c r="A399" s="1"/>
      <c r="B399" s="1"/>
      <c r="C399" s="1"/>
      <c r="D399" s="1"/>
      <c r="E399" s="1"/>
      <c r="F399" s="1"/>
      <c r="G399" s="1"/>
    </row>
    <row r="400" spans="1:7" x14ac:dyDescent="0.3">
      <c r="A400" s="1"/>
      <c r="B400" s="1"/>
      <c r="C400" s="1"/>
      <c r="D400" s="1"/>
      <c r="F400" s="1"/>
      <c r="G400" s="1"/>
    </row>
    <row r="401" spans="1:8" x14ac:dyDescent="0.3">
      <c r="A401" s="1"/>
      <c r="B401" s="1"/>
      <c r="C401" s="1"/>
      <c r="D401" s="1"/>
      <c r="E401" s="1"/>
      <c r="F401" s="1"/>
    </row>
    <row r="402" spans="1:8" x14ac:dyDescent="0.3">
      <c r="A402" s="1"/>
      <c r="B402" s="1"/>
      <c r="C402" s="1"/>
      <c r="D402" s="1"/>
      <c r="F402" s="1"/>
    </row>
    <row r="403" spans="1:8" x14ac:dyDescent="0.3">
      <c r="A403" s="1"/>
      <c r="B403" s="1"/>
      <c r="C403" s="1"/>
      <c r="D403" s="1"/>
      <c r="E403" s="1"/>
      <c r="F403" s="1"/>
    </row>
    <row r="404" spans="1:8" x14ac:dyDescent="0.3">
      <c r="A404" s="1"/>
      <c r="B404" s="1"/>
      <c r="C404" s="1"/>
      <c r="D404" s="1"/>
      <c r="E404" s="1"/>
      <c r="F404" s="1"/>
      <c r="G404" s="1"/>
    </row>
    <row r="405" spans="1:8" x14ac:dyDescent="0.3">
      <c r="A405" s="1"/>
      <c r="B405" s="1"/>
      <c r="C405" s="1"/>
      <c r="D405" s="1"/>
      <c r="E405" s="1"/>
      <c r="F405" s="1"/>
      <c r="G405" s="1"/>
    </row>
    <row r="406" spans="1:8" x14ac:dyDescent="0.3">
      <c r="A406" s="1"/>
      <c r="B406" s="1"/>
      <c r="C406" s="1"/>
      <c r="D406" s="1"/>
      <c r="F406" s="1"/>
    </row>
    <row r="407" spans="1:8" x14ac:dyDescent="0.3">
      <c r="A407" s="1"/>
      <c r="B407" s="1"/>
      <c r="C407" s="1"/>
      <c r="E407" s="1"/>
      <c r="F407" s="1"/>
    </row>
    <row r="408" spans="1:8" x14ac:dyDescent="0.3">
      <c r="A408" s="1"/>
      <c r="B408" s="1"/>
    </row>
    <row r="409" spans="1:8" x14ac:dyDescent="0.3">
      <c r="A409" s="1"/>
      <c r="B409" s="1"/>
      <c r="C409" s="1"/>
      <c r="D409" s="1"/>
      <c r="E409" s="1"/>
      <c r="F409" s="1"/>
      <c r="G409" s="1"/>
    </row>
    <row r="410" spans="1:8" x14ac:dyDescent="0.3">
      <c r="A410" s="1"/>
      <c r="B410" s="1"/>
      <c r="C410" s="1"/>
      <c r="D410" s="1"/>
      <c r="F410" s="1"/>
    </row>
    <row r="411" spans="1:8" x14ac:dyDescent="0.3">
      <c r="A411" s="1"/>
      <c r="B411" s="1"/>
      <c r="C411" s="1"/>
      <c r="D411" s="1"/>
      <c r="E411" s="1"/>
      <c r="F411" s="1"/>
      <c r="G411" s="1"/>
      <c r="H411"/>
    </row>
    <row r="412" spans="1:8" x14ac:dyDescent="0.3">
      <c r="A412" s="1"/>
      <c r="B412" s="1"/>
      <c r="C412" s="1"/>
      <c r="F412" s="1"/>
    </row>
    <row r="413" spans="1:8" x14ac:dyDescent="0.3">
      <c r="A413" s="1"/>
      <c r="B413" s="1"/>
      <c r="C413" s="1"/>
      <c r="D413" s="1"/>
      <c r="G413" s="1"/>
    </row>
    <row r="414" spans="1:8" x14ac:dyDescent="0.3">
      <c r="A414" s="1"/>
      <c r="B414" s="1"/>
      <c r="C414" s="1"/>
      <c r="D414" s="1"/>
      <c r="E414" s="1"/>
      <c r="F414" s="1"/>
      <c r="G414" s="1"/>
    </row>
    <row r="415" spans="1:8" x14ac:dyDescent="0.3">
      <c r="A415" s="1"/>
      <c r="B415" s="1"/>
      <c r="C415" s="1"/>
      <c r="D415" s="1"/>
      <c r="E415" s="1"/>
      <c r="F415" s="1"/>
      <c r="G415" s="1"/>
    </row>
    <row r="416" spans="1:8" x14ac:dyDescent="0.3">
      <c r="A416" s="1"/>
      <c r="B416" s="1"/>
    </row>
    <row r="417" spans="1:7" x14ac:dyDescent="0.3">
      <c r="A417" s="1"/>
      <c r="B417" s="1"/>
      <c r="C417" s="1"/>
      <c r="D417" s="1"/>
      <c r="F417" s="1"/>
      <c r="G417" s="1"/>
    </row>
    <row r="418" spans="1:7" x14ac:dyDescent="0.3">
      <c r="A418" s="1"/>
      <c r="B418" s="1"/>
      <c r="C418" s="1"/>
      <c r="D418" s="1"/>
      <c r="E418" s="1"/>
      <c r="F418" s="1"/>
      <c r="G418" s="1"/>
    </row>
    <row r="419" spans="1:7" x14ac:dyDescent="0.3">
      <c r="A419" s="1"/>
      <c r="B419" s="1"/>
      <c r="C419" s="1"/>
      <c r="D419" s="1"/>
    </row>
    <row r="420" spans="1:7" x14ac:dyDescent="0.3">
      <c r="A420" s="1"/>
      <c r="B420" s="1"/>
    </row>
    <row r="421" spans="1:7" x14ac:dyDescent="0.3">
      <c r="A421" s="1"/>
      <c r="B421" s="1"/>
      <c r="C421" s="1"/>
      <c r="D421" s="1"/>
      <c r="F421" s="1"/>
    </row>
    <row r="422" spans="1:7" x14ac:dyDescent="0.3">
      <c r="A422" s="1"/>
      <c r="B422" s="1"/>
    </row>
    <row r="423" spans="1:7" x14ac:dyDescent="0.3">
      <c r="A423" s="1"/>
      <c r="B423" s="1"/>
      <c r="C423" s="1"/>
      <c r="D423" s="1"/>
      <c r="F423" s="1"/>
      <c r="G423" s="1"/>
    </row>
    <row r="424" spans="1:7" x14ac:dyDescent="0.3">
      <c r="A424" s="1"/>
      <c r="B424" s="1"/>
      <c r="C424" s="1"/>
      <c r="F424" s="1"/>
    </row>
    <row r="425" spans="1:7" x14ac:dyDescent="0.3">
      <c r="A425" s="1"/>
      <c r="B425" s="1"/>
      <c r="C425" s="1"/>
      <c r="F425" s="1"/>
    </row>
    <row r="426" spans="1:7" x14ac:dyDescent="0.3">
      <c r="A426" s="1"/>
      <c r="B426" s="1"/>
      <c r="C426" s="1"/>
      <c r="D426" s="1"/>
      <c r="E426" s="1"/>
      <c r="F426" s="1"/>
      <c r="G426" s="1"/>
    </row>
    <row r="427" spans="1:7" x14ac:dyDescent="0.3">
      <c r="A427" s="1"/>
      <c r="B427" s="1"/>
      <c r="C427" s="1"/>
      <c r="D427" s="1"/>
      <c r="F427" s="1"/>
      <c r="G427" s="1"/>
    </row>
    <row r="428" spans="1:7" x14ac:dyDescent="0.3">
      <c r="A428" s="1"/>
      <c r="B428" s="1"/>
      <c r="C428" s="1"/>
      <c r="D428" s="1"/>
      <c r="F428" s="1"/>
    </row>
    <row r="429" spans="1:7" x14ac:dyDescent="0.3">
      <c r="A429" s="1"/>
      <c r="B429" s="1"/>
      <c r="E429" s="1"/>
      <c r="F429" s="1"/>
      <c r="G429" s="1"/>
    </row>
    <row r="430" spans="1:7" x14ac:dyDescent="0.3">
      <c r="A430" s="1"/>
      <c r="B430" s="1"/>
      <c r="C430" s="1"/>
      <c r="D430" s="1"/>
      <c r="E430" s="1"/>
      <c r="F430" s="1"/>
      <c r="G430" s="1"/>
    </row>
    <row r="431" spans="1:7" x14ac:dyDescent="0.3">
      <c r="A431" s="1"/>
      <c r="B431" s="1"/>
      <c r="C431" s="1"/>
      <c r="D431" s="1"/>
      <c r="F431" s="1"/>
    </row>
    <row r="432" spans="1:7" x14ac:dyDescent="0.3">
      <c r="A432" s="1"/>
      <c r="B432" s="1"/>
      <c r="C432" s="1"/>
      <c r="D432" s="1"/>
      <c r="E432" s="1"/>
      <c r="F432" s="1"/>
    </row>
    <row r="433" spans="1:7" x14ac:dyDescent="0.3">
      <c r="A433" s="1"/>
      <c r="B433" s="1"/>
    </row>
    <row r="434" spans="1:7" x14ac:dyDescent="0.3">
      <c r="A434" s="1"/>
      <c r="B434" s="1"/>
      <c r="C434" s="1"/>
      <c r="D434" s="1"/>
      <c r="E434" s="1"/>
      <c r="F434" s="1"/>
    </row>
    <row r="435" spans="1:7" x14ac:dyDescent="0.3">
      <c r="A435" s="1"/>
      <c r="B435" s="1"/>
      <c r="C435" s="1"/>
      <c r="F435" s="1"/>
    </row>
    <row r="436" spans="1:7" x14ac:dyDescent="0.3">
      <c r="A436" s="1"/>
      <c r="B436" s="1"/>
    </row>
    <row r="437" spans="1:7" x14ac:dyDescent="0.3">
      <c r="A437" s="1"/>
      <c r="B437" s="1"/>
      <c r="C437" s="1"/>
      <c r="D437" s="1"/>
      <c r="F437" s="1"/>
    </row>
    <row r="438" spans="1:7" x14ac:dyDescent="0.3">
      <c r="A438" s="1"/>
      <c r="B438" s="1"/>
      <c r="C438" s="1"/>
      <c r="F438" s="1"/>
    </row>
    <row r="439" spans="1:7" x14ac:dyDescent="0.3">
      <c r="A439" s="1"/>
      <c r="B439" s="1"/>
      <c r="C439" s="1"/>
      <c r="D439" s="1"/>
      <c r="F439" s="1"/>
      <c r="G439" s="1"/>
    </row>
    <row r="440" spans="1:7" x14ac:dyDescent="0.3">
      <c r="A440" s="1"/>
      <c r="B440" s="1"/>
      <c r="C440" s="1"/>
      <c r="F440" s="1"/>
    </row>
    <row r="441" spans="1:7" x14ac:dyDescent="0.3">
      <c r="A441" s="1"/>
      <c r="B441" s="1"/>
      <c r="C441" s="1"/>
      <c r="D441" s="1"/>
      <c r="E441" s="1"/>
      <c r="F441" s="1"/>
    </row>
    <row r="442" spans="1:7" x14ac:dyDescent="0.3">
      <c r="A442" s="1"/>
      <c r="B442" s="1"/>
      <c r="C442" s="1"/>
      <c r="D442" s="1"/>
      <c r="E442" s="1"/>
    </row>
    <row r="443" spans="1:7" x14ac:dyDescent="0.3">
      <c r="A443" s="1"/>
      <c r="B443" s="1"/>
      <c r="C443" s="1"/>
      <c r="D443" s="1"/>
      <c r="E443" s="1"/>
    </row>
    <row r="444" spans="1:7" x14ac:dyDescent="0.3">
      <c r="A444" s="1"/>
      <c r="B444" s="1"/>
      <c r="C444" s="1"/>
      <c r="D444" s="1"/>
      <c r="E444" s="1"/>
    </row>
    <row r="445" spans="1:7" x14ac:dyDescent="0.3">
      <c r="A445" s="1"/>
      <c r="B445" s="1"/>
      <c r="C445" s="1"/>
      <c r="D445" s="1"/>
      <c r="E445" s="1"/>
    </row>
    <row r="446" spans="1:7" x14ac:dyDescent="0.3">
      <c r="A446" s="1"/>
      <c r="B446" s="1"/>
      <c r="C446" s="1"/>
      <c r="D446" s="1"/>
      <c r="E446" s="1"/>
      <c r="F446" s="1"/>
      <c r="G446" s="1"/>
    </row>
    <row r="447" spans="1:7" x14ac:dyDescent="0.3">
      <c r="A447" s="1"/>
      <c r="B447" s="1"/>
      <c r="C447" s="1"/>
      <c r="D447" s="1"/>
      <c r="E447" s="1"/>
      <c r="F447" s="1"/>
    </row>
    <row r="448" spans="1:7" x14ac:dyDescent="0.3">
      <c r="A448" s="2"/>
      <c r="B448" s="2"/>
      <c r="C448" s="2"/>
      <c r="D448" s="2"/>
      <c r="E448" s="2"/>
      <c r="F448" s="2"/>
      <c r="G448" s="2"/>
    </row>
  </sheetData>
  <autoFilter ref="A1:K448" xr:uid="{00000000-0009-0000-0000-000002000000}"/>
  <dataValidations count="2">
    <dataValidation type="list" allowBlank="1" sqref="K2:K1048576" xr:uid="{00000000-0002-0000-0200-000000000000}">
      <formula1>"SI,NO"</formula1>
    </dataValidation>
    <dataValidation type="whole" allowBlank="1" sqref="J2:J1048576" xr:uid="{00000000-0002-0000-0200-000001000000}">
      <formula1>1</formula1>
      <formula2>30</formula2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E123"/>
  <sheetViews>
    <sheetView workbookViewId="0"/>
  </sheetViews>
  <sheetFormatPr baseColWidth="10" defaultRowHeight="14.4" x14ac:dyDescent="0.3"/>
  <cols>
    <col min="1" max="1" width="9" style="17" bestFit="1" customWidth="1"/>
    <col min="2" max="2" width="39.5546875" style="17" bestFit="1" customWidth="1"/>
    <col min="3" max="3" width="10.88671875" style="17" bestFit="1" customWidth="1"/>
    <col min="4" max="4" width="14.6640625" style="17" bestFit="1" customWidth="1"/>
  </cols>
  <sheetData>
    <row r="1" spans="1:5" ht="28.8" customHeight="1" x14ac:dyDescent="0.3">
      <c r="A1" s="5" t="s">
        <v>59</v>
      </c>
      <c r="B1" s="5" t="s">
        <v>60</v>
      </c>
      <c r="C1" s="5" t="s">
        <v>61</v>
      </c>
      <c r="D1" s="5" t="s">
        <v>62</v>
      </c>
      <c r="E1" s="5" t="s">
        <v>63</v>
      </c>
    </row>
    <row r="2" spans="1:5" x14ac:dyDescent="0.3">
      <c r="A2" s="1">
        <v>11010001</v>
      </c>
      <c r="B2" s="1" t="s">
        <v>64</v>
      </c>
      <c r="C2" t="s">
        <v>65</v>
      </c>
      <c r="D2">
        <v>36</v>
      </c>
      <c r="E2">
        <f t="shared" ref="E2:E33" si="0">1/D2</f>
        <v>2.7777777777777776E-2</v>
      </c>
    </row>
    <row r="3" spans="1:5" x14ac:dyDescent="0.3">
      <c r="A3" s="1">
        <v>11010002</v>
      </c>
      <c r="B3" s="1" t="s">
        <v>66</v>
      </c>
      <c r="C3" t="s">
        <v>65</v>
      </c>
      <c r="D3">
        <v>36</v>
      </c>
      <c r="E3">
        <f t="shared" si="0"/>
        <v>2.7777777777777776E-2</v>
      </c>
    </row>
    <row r="4" spans="1:5" x14ac:dyDescent="0.3">
      <c r="A4" s="1">
        <v>11010003</v>
      </c>
      <c r="B4" s="1" t="s">
        <v>67</v>
      </c>
      <c r="C4" t="s">
        <v>65</v>
      </c>
      <c r="D4">
        <v>36</v>
      </c>
      <c r="E4">
        <f t="shared" si="0"/>
        <v>2.7777777777777776E-2</v>
      </c>
    </row>
    <row r="5" spans="1:5" x14ac:dyDescent="0.3">
      <c r="A5" s="1">
        <v>11010004</v>
      </c>
      <c r="B5" s="1" t="s">
        <v>68</v>
      </c>
      <c r="C5" t="s">
        <v>65</v>
      </c>
      <c r="D5">
        <v>36</v>
      </c>
      <c r="E5">
        <f t="shared" si="0"/>
        <v>2.7777777777777776E-2</v>
      </c>
    </row>
    <row r="6" spans="1:5" x14ac:dyDescent="0.3">
      <c r="A6" s="1">
        <v>11010005</v>
      </c>
      <c r="B6" s="1" t="s">
        <v>69</v>
      </c>
      <c r="C6" t="s">
        <v>65</v>
      </c>
      <c r="D6">
        <v>36</v>
      </c>
      <c r="E6">
        <f t="shared" si="0"/>
        <v>2.7777777777777776E-2</v>
      </c>
    </row>
    <row r="7" spans="1:5" x14ac:dyDescent="0.3">
      <c r="A7" s="1">
        <v>11010007</v>
      </c>
      <c r="B7" s="1" t="s">
        <v>70</v>
      </c>
      <c r="C7" t="s">
        <v>65</v>
      </c>
      <c r="D7">
        <v>36</v>
      </c>
      <c r="E7">
        <f t="shared" si="0"/>
        <v>2.7777777777777776E-2</v>
      </c>
    </row>
    <row r="8" spans="1:5" x14ac:dyDescent="0.3">
      <c r="A8" s="1">
        <v>11010008</v>
      </c>
      <c r="B8" s="1" t="s">
        <v>71</v>
      </c>
      <c r="C8" t="s">
        <v>65</v>
      </c>
      <c r="D8">
        <v>36</v>
      </c>
      <c r="E8">
        <f t="shared" si="0"/>
        <v>2.7777777777777776E-2</v>
      </c>
    </row>
    <row r="9" spans="1:5" x14ac:dyDescent="0.3">
      <c r="A9" s="1">
        <v>11010009</v>
      </c>
      <c r="B9" s="1" t="s">
        <v>72</v>
      </c>
      <c r="C9" t="s">
        <v>65</v>
      </c>
      <c r="D9">
        <v>36</v>
      </c>
      <c r="E9">
        <f t="shared" si="0"/>
        <v>2.7777777777777776E-2</v>
      </c>
    </row>
    <row r="10" spans="1:5" x14ac:dyDescent="0.3">
      <c r="A10" s="1">
        <v>11010010</v>
      </c>
      <c r="B10" s="1" t="s">
        <v>73</v>
      </c>
      <c r="C10" t="s">
        <v>65</v>
      </c>
      <c r="D10">
        <v>36</v>
      </c>
      <c r="E10">
        <f t="shared" si="0"/>
        <v>2.7777777777777776E-2</v>
      </c>
    </row>
    <row r="11" spans="1:5" x14ac:dyDescent="0.3">
      <c r="A11" s="1">
        <v>11010011</v>
      </c>
      <c r="B11" s="1" t="s">
        <v>74</v>
      </c>
      <c r="C11" t="s">
        <v>65</v>
      </c>
      <c r="D11">
        <v>36</v>
      </c>
      <c r="E11">
        <f t="shared" si="0"/>
        <v>2.7777777777777776E-2</v>
      </c>
    </row>
    <row r="12" spans="1:5" x14ac:dyDescent="0.3">
      <c r="A12" s="1">
        <v>11010013</v>
      </c>
      <c r="B12" s="1" t="s">
        <v>75</v>
      </c>
      <c r="C12" t="s">
        <v>65</v>
      </c>
      <c r="D12">
        <v>36</v>
      </c>
      <c r="E12">
        <f t="shared" si="0"/>
        <v>2.7777777777777776E-2</v>
      </c>
    </row>
    <row r="13" spans="1:5" x14ac:dyDescent="0.3">
      <c r="A13" s="1">
        <v>11010014</v>
      </c>
      <c r="B13" s="1" t="s">
        <v>76</v>
      </c>
      <c r="C13" t="s">
        <v>65</v>
      </c>
      <c r="D13">
        <v>36</v>
      </c>
      <c r="E13">
        <f t="shared" si="0"/>
        <v>2.7777777777777776E-2</v>
      </c>
    </row>
    <row r="14" spans="1:5" x14ac:dyDescent="0.3">
      <c r="A14" s="1">
        <v>11010015</v>
      </c>
      <c r="B14" s="1" t="s">
        <v>77</v>
      </c>
      <c r="C14" t="s">
        <v>65</v>
      </c>
      <c r="D14">
        <v>36</v>
      </c>
      <c r="E14">
        <f t="shared" si="0"/>
        <v>2.7777777777777776E-2</v>
      </c>
    </row>
    <row r="15" spans="1:5" x14ac:dyDescent="0.3">
      <c r="A15" s="1">
        <v>11010018</v>
      </c>
      <c r="B15" s="1" t="s">
        <v>78</v>
      </c>
      <c r="C15" t="s">
        <v>65</v>
      </c>
      <c r="D15">
        <v>36</v>
      </c>
      <c r="E15">
        <f t="shared" si="0"/>
        <v>2.7777777777777776E-2</v>
      </c>
    </row>
    <row r="16" spans="1:5" x14ac:dyDescent="0.3">
      <c r="A16" s="1">
        <v>11010019</v>
      </c>
      <c r="B16" s="1" t="s">
        <v>79</v>
      </c>
      <c r="C16" t="s">
        <v>65</v>
      </c>
      <c r="D16">
        <v>36</v>
      </c>
      <c r="E16">
        <f t="shared" si="0"/>
        <v>2.7777777777777776E-2</v>
      </c>
    </row>
    <row r="17" spans="1:5" x14ac:dyDescent="0.3">
      <c r="A17" s="1">
        <v>11010020</v>
      </c>
      <c r="B17" s="1" t="s">
        <v>80</v>
      </c>
      <c r="C17" t="s">
        <v>65</v>
      </c>
      <c r="D17">
        <v>36</v>
      </c>
      <c r="E17">
        <f t="shared" si="0"/>
        <v>2.7777777777777776E-2</v>
      </c>
    </row>
    <row r="18" spans="1:5" x14ac:dyDescent="0.3">
      <c r="A18" s="1">
        <v>11010022</v>
      </c>
      <c r="B18" s="1" t="s">
        <v>81</v>
      </c>
      <c r="C18" t="s">
        <v>65</v>
      </c>
      <c r="D18">
        <v>36</v>
      </c>
      <c r="E18">
        <f t="shared" si="0"/>
        <v>2.7777777777777776E-2</v>
      </c>
    </row>
    <row r="19" spans="1:5" x14ac:dyDescent="0.3">
      <c r="A19" s="1">
        <v>11010023</v>
      </c>
      <c r="B19" s="1" t="s">
        <v>82</v>
      </c>
      <c r="C19" t="s">
        <v>65</v>
      </c>
      <c r="D19">
        <v>36</v>
      </c>
      <c r="E19">
        <f t="shared" si="0"/>
        <v>2.7777777777777776E-2</v>
      </c>
    </row>
    <row r="20" spans="1:5" x14ac:dyDescent="0.3">
      <c r="A20" s="1">
        <v>11010027</v>
      </c>
      <c r="B20" s="1" t="s">
        <v>83</v>
      </c>
      <c r="C20" t="s">
        <v>65</v>
      </c>
      <c r="D20">
        <v>36</v>
      </c>
      <c r="E20">
        <f t="shared" si="0"/>
        <v>2.7777777777777776E-2</v>
      </c>
    </row>
    <row r="21" spans="1:5" x14ac:dyDescent="0.3">
      <c r="A21" s="1">
        <v>11010201</v>
      </c>
      <c r="B21" s="1" t="s">
        <v>84</v>
      </c>
      <c r="C21" t="s">
        <v>65</v>
      </c>
      <c r="D21">
        <v>36</v>
      </c>
      <c r="E21">
        <f t="shared" si="0"/>
        <v>2.7777777777777776E-2</v>
      </c>
    </row>
    <row r="22" spans="1:5" x14ac:dyDescent="0.3">
      <c r="A22" s="1">
        <v>11010202</v>
      </c>
      <c r="B22" s="1" t="s">
        <v>85</v>
      </c>
      <c r="C22" t="s">
        <v>65</v>
      </c>
      <c r="D22">
        <v>36</v>
      </c>
      <c r="E22">
        <f t="shared" si="0"/>
        <v>2.7777777777777776E-2</v>
      </c>
    </row>
    <row r="23" spans="1:5" x14ac:dyDescent="0.3">
      <c r="A23" s="1">
        <v>11010203</v>
      </c>
      <c r="B23" s="1" t="s">
        <v>86</v>
      </c>
      <c r="C23" t="s">
        <v>65</v>
      </c>
      <c r="D23">
        <v>36</v>
      </c>
      <c r="E23">
        <f t="shared" si="0"/>
        <v>2.7777777777777776E-2</v>
      </c>
    </row>
    <row r="24" spans="1:5" x14ac:dyDescent="0.3">
      <c r="A24" s="1">
        <v>11010204</v>
      </c>
      <c r="B24" s="1" t="s">
        <v>87</v>
      </c>
      <c r="C24" t="s">
        <v>65</v>
      </c>
      <c r="D24">
        <v>36</v>
      </c>
      <c r="E24">
        <f t="shared" si="0"/>
        <v>2.7777777777777776E-2</v>
      </c>
    </row>
    <row r="25" spans="1:5" x14ac:dyDescent="0.3">
      <c r="A25" s="1">
        <v>11010301</v>
      </c>
      <c r="B25" s="1" t="s">
        <v>88</v>
      </c>
      <c r="C25" t="s">
        <v>65</v>
      </c>
      <c r="D25">
        <v>36</v>
      </c>
      <c r="E25">
        <f t="shared" si="0"/>
        <v>2.7777777777777776E-2</v>
      </c>
    </row>
    <row r="26" spans="1:5" x14ac:dyDescent="0.3">
      <c r="A26" s="1">
        <v>11010302</v>
      </c>
      <c r="B26" s="1" t="s">
        <v>89</v>
      </c>
      <c r="C26" t="s">
        <v>65</v>
      </c>
      <c r="D26">
        <v>36</v>
      </c>
      <c r="E26">
        <f t="shared" si="0"/>
        <v>2.7777777777777776E-2</v>
      </c>
    </row>
    <row r="27" spans="1:5" x14ac:dyDescent="0.3">
      <c r="A27" s="1">
        <v>11010303</v>
      </c>
      <c r="B27" s="1" t="s">
        <v>90</v>
      </c>
      <c r="C27" t="s">
        <v>65</v>
      </c>
      <c r="D27">
        <v>36</v>
      </c>
      <c r="E27">
        <f t="shared" si="0"/>
        <v>2.7777777777777776E-2</v>
      </c>
    </row>
    <row r="28" spans="1:5" x14ac:dyDescent="0.3">
      <c r="A28" s="1">
        <v>11010304</v>
      </c>
      <c r="B28" s="1" t="s">
        <v>91</v>
      </c>
      <c r="C28" t="s">
        <v>65</v>
      </c>
      <c r="D28">
        <v>36</v>
      </c>
      <c r="E28">
        <f t="shared" si="0"/>
        <v>2.7777777777777776E-2</v>
      </c>
    </row>
    <row r="29" spans="1:5" x14ac:dyDescent="0.3">
      <c r="A29" s="1">
        <v>11010305</v>
      </c>
      <c r="B29" s="1" t="s">
        <v>92</v>
      </c>
      <c r="C29" t="s">
        <v>65</v>
      </c>
      <c r="D29">
        <v>36</v>
      </c>
      <c r="E29">
        <f t="shared" si="0"/>
        <v>2.7777777777777776E-2</v>
      </c>
    </row>
    <row r="30" spans="1:5" x14ac:dyDescent="0.3">
      <c r="A30" s="1">
        <v>11010306</v>
      </c>
      <c r="B30" s="1" t="s">
        <v>93</v>
      </c>
      <c r="C30" t="s">
        <v>65</v>
      </c>
      <c r="D30">
        <v>36</v>
      </c>
      <c r="E30">
        <f t="shared" si="0"/>
        <v>2.7777777777777776E-2</v>
      </c>
    </row>
    <row r="31" spans="1:5" x14ac:dyDescent="0.3">
      <c r="A31" s="1">
        <v>11010307</v>
      </c>
      <c r="B31" s="1" t="s">
        <v>94</v>
      </c>
      <c r="C31" t="s">
        <v>65</v>
      </c>
      <c r="D31">
        <v>36</v>
      </c>
      <c r="E31">
        <f t="shared" si="0"/>
        <v>2.7777777777777776E-2</v>
      </c>
    </row>
    <row r="32" spans="1:5" x14ac:dyDescent="0.3">
      <c r="A32" s="1">
        <v>11010308</v>
      </c>
      <c r="B32" s="1" t="s">
        <v>95</v>
      </c>
      <c r="C32" t="s">
        <v>65</v>
      </c>
      <c r="D32">
        <v>36</v>
      </c>
      <c r="E32">
        <f t="shared" si="0"/>
        <v>2.7777777777777776E-2</v>
      </c>
    </row>
    <row r="33" spans="1:5" x14ac:dyDescent="0.3">
      <c r="A33" s="1">
        <v>11010309</v>
      </c>
      <c r="B33" s="1" t="s">
        <v>96</v>
      </c>
      <c r="C33" t="s">
        <v>65</v>
      </c>
      <c r="D33">
        <v>36</v>
      </c>
      <c r="E33">
        <f t="shared" si="0"/>
        <v>2.7777777777777776E-2</v>
      </c>
    </row>
    <row r="34" spans="1:5" x14ac:dyDescent="0.3">
      <c r="A34" s="1">
        <v>11020001</v>
      </c>
      <c r="B34" s="1" t="s">
        <v>97</v>
      </c>
      <c r="C34" t="s">
        <v>65</v>
      </c>
      <c r="D34">
        <v>36</v>
      </c>
      <c r="E34">
        <f t="shared" ref="E34:E65" si="1">1/D34</f>
        <v>2.7777777777777776E-2</v>
      </c>
    </row>
    <row r="35" spans="1:5" x14ac:dyDescent="0.3">
      <c r="A35" s="1">
        <v>11020002</v>
      </c>
      <c r="B35" s="1" t="s">
        <v>98</v>
      </c>
      <c r="C35" t="s">
        <v>65</v>
      </c>
      <c r="D35">
        <v>36</v>
      </c>
      <c r="E35">
        <f t="shared" si="1"/>
        <v>2.7777777777777776E-2</v>
      </c>
    </row>
    <row r="36" spans="1:5" x14ac:dyDescent="0.3">
      <c r="A36" s="1">
        <v>11020003</v>
      </c>
      <c r="B36" s="1" t="s">
        <v>99</v>
      </c>
      <c r="C36" t="s">
        <v>65</v>
      </c>
      <c r="D36">
        <v>36</v>
      </c>
      <c r="E36">
        <f t="shared" si="1"/>
        <v>2.7777777777777776E-2</v>
      </c>
    </row>
    <row r="37" spans="1:5" x14ac:dyDescent="0.3">
      <c r="A37" s="1">
        <v>11020004</v>
      </c>
      <c r="B37" s="1" t="s">
        <v>100</v>
      </c>
      <c r="C37" t="s">
        <v>65</v>
      </c>
      <c r="D37">
        <v>36</v>
      </c>
      <c r="E37">
        <f t="shared" si="1"/>
        <v>2.7777777777777776E-2</v>
      </c>
    </row>
    <row r="38" spans="1:5" x14ac:dyDescent="0.3">
      <c r="A38" s="1">
        <v>11020005</v>
      </c>
      <c r="B38" s="1" t="s">
        <v>101</v>
      </c>
      <c r="C38" t="s">
        <v>65</v>
      </c>
      <c r="D38">
        <v>36</v>
      </c>
      <c r="E38">
        <f t="shared" si="1"/>
        <v>2.7777777777777776E-2</v>
      </c>
    </row>
    <row r="39" spans="1:5" x14ac:dyDescent="0.3">
      <c r="A39" s="1">
        <v>11020006</v>
      </c>
      <c r="B39" s="1" t="s">
        <v>102</v>
      </c>
      <c r="C39" t="s">
        <v>65</v>
      </c>
      <c r="D39">
        <v>36</v>
      </c>
      <c r="E39">
        <f t="shared" si="1"/>
        <v>2.7777777777777776E-2</v>
      </c>
    </row>
    <row r="40" spans="1:5" x14ac:dyDescent="0.3">
      <c r="A40" s="1">
        <v>11020007</v>
      </c>
      <c r="B40" s="1" t="s">
        <v>103</v>
      </c>
      <c r="C40" t="s">
        <v>65</v>
      </c>
      <c r="D40">
        <v>36</v>
      </c>
      <c r="E40">
        <f t="shared" si="1"/>
        <v>2.7777777777777776E-2</v>
      </c>
    </row>
    <row r="41" spans="1:5" x14ac:dyDescent="0.3">
      <c r="A41" s="1">
        <v>11020008</v>
      </c>
      <c r="B41" s="1" t="s">
        <v>104</v>
      </c>
      <c r="C41" t="s">
        <v>65</v>
      </c>
      <c r="D41">
        <v>36</v>
      </c>
      <c r="E41">
        <f t="shared" si="1"/>
        <v>2.7777777777777776E-2</v>
      </c>
    </row>
    <row r="42" spans="1:5" x14ac:dyDescent="0.3">
      <c r="A42" s="1">
        <v>11020009</v>
      </c>
      <c r="B42" s="1" t="s">
        <v>105</v>
      </c>
      <c r="C42" t="s">
        <v>65</v>
      </c>
      <c r="D42">
        <v>36</v>
      </c>
      <c r="E42">
        <f t="shared" si="1"/>
        <v>2.7777777777777776E-2</v>
      </c>
    </row>
    <row r="43" spans="1:5" x14ac:dyDescent="0.3">
      <c r="A43" s="1">
        <v>11020010</v>
      </c>
      <c r="B43" s="1" t="s">
        <v>106</v>
      </c>
      <c r="C43" t="s">
        <v>65</v>
      </c>
      <c r="D43">
        <v>36</v>
      </c>
      <c r="E43">
        <f t="shared" si="1"/>
        <v>2.7777777777777776E-2</v>
      </c>
    </row>
    <row r="44" spans="1:5" x14ac:dyDescent="0.3">
      <c r="A44" s="1">
        <v>11020014</v>
      </c>
      <c r="B44" s="1" t="s">
        <v>107</v>
      </c>
      <c r="C44" t="s">
        <v>65</v>
      </c>
      <c r="D44">
        <v>36</v>
      </c>
      <c r="E44">
        <f t="shared" si="1"/>
        <v>2.7777777777777776E-2</v>
      </c>
    </row>
    <row r="45" spans="1:5" x14ac:dyDescent="0.3">
      <c r="A45" s="1">
        <v>11020015</v>
      </c>
      <c r="B45" s="1" t="s">
        <v>108</v>
      </c>
      <c r="C45" t="s">
        <v>65</v>
      </c>
      <c r="D45">
        <v>36</v>
      </c>
      <c r="E45">
        <f t="shared" si="1"/>
        <v>2.7777777777777776E-2</v>
      </c>
    </row>
    <row r="46" spans="1:5" x14ac:dyDescent="0.3">
      <c r="A46" s="1">
        <v>11020016</v>
      </c>
      <c r="B46" s="1" t="s">
        <v>109</v>
      </c>
      <c r="C46" t="s">
        <v>65</v>
      </c>
      <c r="D46">
        <v>36</v>
      </c>
      <c r="E46">
        <f t="shared" si="1"/>
        <v>2.7777777777777776E-2</v>
      </c>
    </row>
    <row r="47" spans="1:5" x14ac:dyDescent="0.3">
      <c r="A47" s="1">
        <v>12040001</v>
      </c>
      <c r="B47" s="1" t="s">
        <v>110</v>
      </c>
      <c r="C47" t="s">
        <v>65</v>
      </c>
      <c r="D47">
        <v>50</v>
      </c>
      <c r="E47">
        <f t="shared" si="1"/>
        <v>0.02</v>
      </c>
    </row>
    <row r="48" spans="1:5" x14ac:dyDescent="0.3">
      <c r="A48" s="1">
        <v>12040002</v>
      </c>
      <c r="B48" s="1" t="s">
        <v>111</v>
      </c>
      <c r="C48" t="s">
        <v>65</v>
      </c>
      <c r="D48">
        <v>50</v>
      </c>
      <c r="E48">
        <f t="shared" si="1"/>
        <v>0.02</v>
      </c>
    </row>
    <row r="49" spans="1:5" x14ac:dyDescent="0.3">
      <c r="A49" s="1">
        <v>12080001</v>
      </c>
      <c r="B49" s="1" t="s">
        <v>112</v>
      </c>
      <c r="C49" t="s">
        <v>65</v>
      </c>
      <c r="D49">
        <v>36</v>
      </c>
      <c r="E49">
        <f t="shared" si="1"/>
        <v>2.7777777777777776E-2</v>
      </c>
    </row>
    <row r="50" spans="1:5" x14ac:dyDescent="0.3">
      <c r="A50" s="1">
        <v>12080002</v>
      </c>
      <c r="B50" s="1" t="s">
        <v>113</v>
      </c>
      <c r="C50" t="s">
        <v>65</v>
      </c>
      <c r="D50">
        <v>36</v>
      </c>
      <c r="E50">
        <f t="shared" si="1"/>
        <v>2.7777777777777776E-2</v>
      </c>
    </row>
    <row r="51" spans="1:5" x14ac:dyDescent="0.3">
      <c r="A51" s="1">
        <v>12080003</v>
      </c>
      <c r="B51" s="1" t="s">
        <v>114</v>
      </c>
      <c r="C51" t="s">
        <v>65</v>
      </c>
      <c r="D51">
        <v>36</v>
      </c>
      <c r="E51">
        <f t="shared" si="1"/>
        <v>2.7777777777777776E-2</v>
      </c>
    </row>
    <row r="52" spans="1:5" x14ac:dyDescent="0.3">
      <c r="A52" s="1">
        <v>13010007</v>
      </c>
      <c r="B52" s="1" t="s">
        <v>115</v>
      </c>
      <c r="C52" t="s">
        <v>65</v>
      </c>
      <c r="D52">
        <v>81</v>
      </c>
      <c r="E52">
        <f t="shared" si="1"/>
        <v>1.2345679012345678E-2</v>
      </c>
    </row>
    <row r="53" spans="1:5" x14ac:dyDescent="0.3">
      <c r="A53" s="1">
        <v>13010008</v>
      </c>
      <c r="B53" s="1" t="s">
        <v>116</v>
      </c>
      <c r="C53" t="s">
        <v>65</v>
      </c>
      <c r="D53">
        <v>81</v>
      </c>
      <c r="E53">
        <f t="shared" si="1"/>
        <v>1.2345679012345678E-2</v>
      </c>
    </row>
    <row r="54" spans="1:5" x14ac:dyDescent="0.3">
      <c r="A54" s="1">
        <v>13019001</v>
      </c>
      <c r="B54" s="1" t="s">
        <v>117</v>
      </c>
      <c r="C54" t="s">
        <v>65</v>
      </c>
      <c r="D54">
        <v>81</v>
      </c>
      <c r="E54">
        <f t="shared" si="1"/>
        <v>1.2345679012345678E-2</v>
      </c>
    </row>
    <row r="55" spans="1:5" x14ac:dyDescent="0.3">
      <c r="A55" s="1">
        <v>13019002</v>
      </c>
      <c r="B55" s="1" t="s">
        <v>118</v>
      </c>
      <c r="C55" t="s">
        <v>65</v>
      </c>
      <c r="D55">
        <v>81</v>
      </c>
      <c r="E55">
        <f t="shared" si="1"/>
        <v>1.2345679012345678E-2</v>
      </c>
    </row>
    <row r="56" spans="1:5" x14ac:dyDescent="0.3">
      <c r="A56" s="1">
        <v>13019003</v>
      </c>
      <c r="B56" s="1" t="s">
        <v>119</v>
      </c>
      <c r="C56" t="s">
        <v>65</v>
      </c>
      <c r="D56">
        <v>81</v>
      </c>
      <c r="E56">
        <f t="shared" si="1"/>
        <v>1.2345679012345678E-2</v>
      </c>
    </row>
    <row r="57" spans="1:5" x14ac:dyDescent="0.3">
      <c r="A57" s="1">
        <v>13019004</v>
      </c>
      <c r="B57" s="1" t="s">
        <v>120</v>
      </c>
      <c r="C57" t="s">
        <v>65</v>
      </c>
      <c r="D57">
        <v>81</v>
      </c>
      <c r="E57">
        <f t="shared" si="1"/>
        <v>1.2345679012345678E-2</v>
      </c>
    </row>
    <row r="58" spans="1:5" x14ac:dyDescent="0.3">
      <c r="A58" s="1">
        <v>13019005</v>
      </c>
      <c r="B58" s="1" t="s">
        <v>121</v>
      </c>
      <c r="C58" t="s">
        <v>65</v>
      </c>
      <c r="D58">
        <v>81</v>
      </c>
      <c r="E58">
        <f t="shared" si="1"/>
        <v>1.2345679012345678E-2</v>
      </c>
    </row>
    <row r="59" spans="1:5" x14ac:dyDescent="0.3">
      <c r="A59" s="1">
        <v>13019007</v>
      </c>
      <c r="B59" s="1" t="s">
        <v>122</v>
      </c>
      <c r="C59" t="s">
        <v>65</v>
      </c>
      <c r="D59">
        <v>81</v>
      </c>
      <c r="E59">
        <f t="shared" si="1"/>
        <v>1.2345679012345678E-2</v>
      </c>
    </row>
    <row r="60" spans="1:5" x14ac:dyDescent="0.3">
      <c r="A60" s="1">
        <v>13019008</v>
      </c>
      <c r="B60" s="1" t="s">
        <v>123</v>
      </c>
      <c r="C60" t="s">
        <v>65</v>
      </c>
      <c r="D60">
        <v>81</v>
      </c>
      <c r="E60">
        <f t="shared" si="1"/>
        <v>1.2345679012345678E-2</v>
      </c>
    </row>
    <row r="61" spans="1:5" x14ac:dyDescent="0.3">
      <c r="A61" s="1">
        <v>13020004</v>
      </c>
      <c r="B61" s="1" t="s">
        <v>124</v>
      </c>
      <c r="C61" t="s">
        <v>65</v>
      </c>
      <c r="D61">
        <v>81</v>
      </c>
      <c r="E61">
        <f t="shared" si="1"/>
        <v>1.2345679012345678E-2</v>
      </c>
    </row>
    <row r="62" spans="1:5" x14ac:dyDescent="0.3">
      <c r="A62" s="1">
        <v>13020005</v>
      </c>
      <c r="B62" s="1" t="s">
        <v>125</v>
      </c>
      <c r="C62" t="s">
        <v>65</v>
      </c>
      <c r="D62">
        <v>81</v>
      </c>
      <c r="E62">
        <f t="shared" si="1"/>
        <v>1.2345679012345678E-2</v>
      </c>
    </row>
    <row r="63" spans="1:5" x14ac:dyDescent="0.3">
      <c r="A63" s="1">
        <v>13040001</v>
      </c>
      <c r="B63" s="1" t="s">
        <v>126</v>
      </c>
      <c r="C63" t="s">
        <v>65</v>
      </c>
      <c r="D63">
        <v>81</v>
      </c>
      <c r="E63">
        <f t="shared" si="1"/>
        <v>1.2345679012345678E-2</v>
      </c>
    </row>
    <row r="64" spans="1:5" x14ac:dyDescent="0.3">
      <c r="A64" s="1">
        <v>13040002</v>
      </c>
      <c r="B64" s="1" t="s">
        <v>127</v>
      </c>
      <c r="C64" t="s">
        <v>65</v>
      </c>
      <c r="D64">
        <v>81</v>
      </c>
      <c r="E64">
        <f t="shared" si="1"/>
        <v>1.2345679012345678E-2</v>
      </c>
    </row>
    <row r="65" spans="1:5" x14ac:dyDescent="0.3">
      <c r="A65" s="1">
        <v>13040003</v>
      </c>
      <c r="B65" s="1" t="s">
        <v>128</v>
      </c>
      <c r="C65" t="s">
        <v>65</v>
      </c>
      <c r="D65">
        <v>81</v>
      </c>
      <c r="E65">
        <f t="shared" si="1"/>
        <v>1.2345679012345678E-2</v>
      </c>
    </row>
    <row r="66" spans="1:5" x14ac:dyDescent="0.3">
      <c r="A66" s="1">
        <v>13040004</v>
      </c>
      <c r="B66" s="1" t="s">
        <v>129</v>
      </c>
      <c r="C66" t="s">
        <v>65</v>
      </c>
      <c r="D66">
        <v>81</v>
      </c>
      <c r="E66">
        <f t="shared" ref="E66:E97" si="2">1/D66</f>
        <v>1.2345679012345678E-2</v>
      </c>
    </row>
    <row r="67" spans="1:5" x14ac:dyDescent="0.3">
      <c r="A67" s="1">
        <v>13040005</v>
      </c>
      <c r="B67" s="1" t="s">
        <v>130</v>
      </c>
      <c r="C67" t="s">
        <v>65</v>
      </c>
      <c r="D67">
        <v>81</v>
      </c>
      <c r="E67">
        <f t="shared" si="2"/>
        <v>1.2345679012345678E-2</v>
      </c>
    </row>
    <row r="68" spans="1:5" x14ac:dyDescent="0.3">
      <c r="A68" s="1">
        <v>13040006</v>
      </c>
      <c r="B68" s="1" t="s">
        <v>131</v>
      </c>
      <c r="C68" t="s">
        <v>65</v>
      </c>
      <c r="D68">
        <v>81</v>
      </c>
      <c r="E68">
        <f t="shared" si="2"/>
        <v>1.2345679012345678E-2</v>
      </c>
    </row>
    <row r="69" spans="1:5" x14ac:dyDescent="0.3">
      <c r="A69" s="1">
        <v>13040007</v>
      </c>
      <c r="B69" s="1" t="s">
        <v>132</v>
      </c>
      <c r="C69" t="s">
        <v>65</v>
      </c>
      <c r="D69">
        <v>81</v>
      </c>
      <c r="E69">
        <f t="shared" si="2"/>
        <v>1.2345679012345678E-2</v>
      </c>
    </row>
    <row r="70" spans="1:5" x14ac:dyDescent="0.3">
      <c r="A70" s="1">
        <v>13040008</v>
      </c>
      <c r="B70" s="1" t="s">
        <v>133</v>
      </c>
      <c r="C70" t="s">
        <v>65</v>
      </c>
      <c r="D70">
        <v>81</v>
      </c>
      <c r="E70">
        <f t="shared" si="2"/>
        <v>1.2345679012345678E-2</v>
      </c>
    </row>
    <row r="71" spans="1:5" x14ac:dyDescent="0.3">
      <c r="A71" s="1">
        <v>13040009</v>
      </c>
      <c r="B71" s="1" t="s">
        <v>134</v>
      </c>
      <c r="C71" t="s">
        <v>65</v>
      </c>
      <c r="D71">
        <v>81</v>
      </c>
      <c r="E71">
        <f t="shared" si="2"/>
        <v>1.2345679012345678E-2</v>
      </c>
    </row>
    <row r="72" spans="1:5" x14ac:dyDescent="0.3">
      <c r="A72" s="1">
        <v>13040010</v>
      </c>
      <c r="B72" s="1" t="s">
        <v>135</v>
      </c>
      <c r="C72" t="s">
        <v>65</v>
      </c>
      <c r="D72">
        <v>81</v>
      </c>
      <c r="E72">
        <f t="shared" si="2"/>
        <v>1.2345679012345678E-2</v>
      </c>
    </row>
    <row r="73" spans="1:5" x14ac:dyDescent="0.3">
      <c r="A73" s="1">
        <v>13040011</v>
      </c>
      <c r="B73" s="1" t="s">
        <v>136</v>
      </c>
      <c r="C73" t="s">
        <v>65</v>
      </c>
      <c r="D73">
        <v>81</v>
      </c>
      <c r="E73">
        <f t="shared" si="2"/>
        <v>1.2345679012345678E-2</v>
      </c>
    </row>
    <row r="74" spans="1:5" x14ac:dyDescent="0.3">
      <c r="A74" s="1">
        <v>13040012</v>
      </c>
      <c r="B74" s="1" t="s">
        <v>137</v>
      </c>
      <c r="C74" t="s">
        <v>65</v>
      </c>
      <c r="D74">
        <v>81</v>
      </c>
      <c r="E74">
        <f t="shared" si="2"/>
        <v>1.2345679012345678E-2</v>
      </c>
    </row>
    <row r="75" spans="1:5" x14ac:dyDescent="0.3">
      <c r="A75" s="1">
        <v>13040013</v>
      </c>
      <c r="B75" s="1" t="s">
        <v>138</v>
      </c>
      <c r="C75" t="s">
        <v>65</v>
      </c>
      <c r="D75">
        <v>81</v>
      </c>
      <c r="E75">
        <f t="shared" si="2"/>
        <v>1.2345679012345678E-2</v>
      </c>
    </row>
    <row r="76" spans="1:5" x14ac:dyDescent="0.3">
      <c r="A76" s="1">
        <v>13040014</v>
      </c>
      <c r="B76" s="1" t="s">
        <v>139</v>
      </c>
      <c r="C76" t="s">
        <v>65</v>
      </c>
      <c r="D76">
        <v>81</v>
      </c>
      <c r="E76">
        <f t="shared" si="2"/>
        <v>1.2345679012345678E-2</v>
      </c>
    </row>
    <row r="77" spans="1:5" x14ac:dyDescent="0.3">
      <c r="A77" s="1">
        <v>13040015</v>
      </c>
      <c r="B77" s="1" t="s">
        <v>140</v>
      </c>
      <c r="C77" t="s">
        <v>65</v>
      </c>
      <c r="D77">
        <v>81</v>
      </c>
      <c r="E77">
        <f t="shared" si="2"/>
        <v>1.2345679012345678E-2</v>
      </c>
    </row>
    <row r="78" spans="1:5" x14ac:dyDescent="0.3">
      <c r="A78" s="1">
        <v>13040016</v>
      </c>
      <c r="B78" s="1" t="s">
        <v>141</v>
      </c>
      <c r="C78" t="s">
        <v>65</v>
      </c>
      <c r="D78">
        <v>81</v>
      </c>
      <c r="E78">
        <f t="shared" si="2"/>
        <v>1.2345679012345678E-2</v>
      </c>
    </row>
    <row r="79" spans="1:5" x14ac:dyDescent="0.3">
      <c r="A79" s="1">
        <v>13040017</v>
      </c>
      <c r="B79" s="1" t="s">
        <v>142</v>
      </c>
      <c r="C79" t="s">
        <v>65</v>
      </c>
      <c r="D79">
        <v>81</v>
      </c>
      <c r="E79">
        <f t="shared" si="2"/>
        <v>1.2345679012345678E-2</v>
      </c>
    </row>
    <row r="80" spans="1:5" x14ac:dyDescent="0.3">
      <c r="A80" s="1">
        <v>13040018</v>
      </c>
      <c r="B80" s="1" t="s">
        <v>143</v>
      </c>
      <c r="C80" t="s">
        <v>65</v>
      </c>
      <c r="D80">
        <v>81</v>
      </c>
      <c r="E80">
        <f t="shared" si="2"/>
        <v>1.2345679012345678E-2</v>
      </c>
    </row>
    <row r="81" spans="1:5" x14ac:dyDescent="0.3">
      <c r="A81" s="1">
        <v>13040101</v>
      </c>
      <c r="B81" s="1" t="s">
        <v>144</v>
      </c>
      <c r="C81" t="s">
        <v>65</v>
      </c>
      <c r="D81">
        <v>81</v>
      </c>
      <c r="E81">
        <f t="shared" si="2"/>
        <v>1.2345679012345678E-2</v>
      </c>
    </row>
    <row r="82" spans="1:5" x14ac:dyDescent="0.3">
      <c r="A82" s="1">
        <v>13040102</v>
      </c>
      <c r="B82" s="1" t="s">
        <v>145</v>
      </c>
      <c r="C82" t="s">
        <v>65</v>
      </c>
      <c r="D82">
        <v>81</v>
      </c>
      <c r="E82">
        <f t="shared" si="2"/>
        <v>1.2345679012345678E-2</v>
      </c>
    </row>
    <row r="83" spans="1:5" x14ac:dyDescent="0.3">
      <c r="A83" s="1">
        <v>13040103</v>
      </c>
      <c r="B83" s="1" t="s">
        <v>146</v>
      </c>
      <c r="C83" t="s">
        <v>65</v>
      </c>
      <c r="D83">
        <v>81</v>
      </c>
      <c r="E83">
        <f t="shared" si="2"/>
        <v>1.2345679012345678E-2</v>
      </c>
    </row>
    <row r="84" spans="1:5" x14ac:dyDescent="0.3">
      <c r="A84" s="1">
        <v>13050001</v>
      </c>
      <c r="B84" s="1" t="s">
        <v>147</v>
      </c>
      <c r="C84" t="s">
        <v>65</v>
      </c>
      <c r="D84">
        <v>81</v>
      </c>
      <c r="E84">
        <f t="shared" si="2"/>
        <v>1.2345679012345678E-2</v>
      </c>
    </row>
    <row r="85" spans="1:5" x14ac:dyDescent="0.3">
      <c r="A85" s="1">
        <v>13050002</v>
      </c>
      <c r="B85" s="1" t="s">
        <v>148</v>
      </c>
      <c r="C85" t="s">
        <v>65</v>
      </c>
      <c r="D85">
        <v>81</v>
      </c>
      <c r="E85">
        <f t="shared" si="2"/>
        <v>1.2345679012345678E-2</v>
      </c>
    </row>
    <row r="86" spans="1:5" x14ac:dyDescent="0.3">
      <c r="A86" s="1">
        <v>13050003</v>
      </c>
      <c r="B86" s="1" t="s">
        <v>149</v>
      </c>
      <c r="C86" t="s">
        <v>65</v>
      </c>
      <c r="D86">
        <v>81</v>
      </c>
      <c r="E86">
        <f t="shared" si="2"/>
        <v>1.2345679012345678E-2</v>
      </c>
    </row>
    <row r="87" spans="1:5" x14ac:dyDescent="0.3">
      <c r="A87" s="1">
        <v>13050004</v>
      </c>
      <c r="B87" s="1" t="s">
        <v>150</v>
      </c>
      <c r="C87" t="s">
        <v>65</v>
      </c>
      <c r="D87">
        <v>81</v>
      </c>
      <c r="E87">
        <f t="shared" si="2"/>
        <v>1.2345679012345678E-2</v>
      </c>
    </row>
    <row r="88" spans="1:5" x14ac:dyDescent="0.3">
      <c r="A88" s="1">
        <v>13050005</v>
      </c>
      <c r="B88" s="1" t="s">
        <v>151</v>
      </c>
      <c r="C88" t="s">
        <v>65</v>
      </c>
      <c r="D88">
        <v>81</v>
      </c>
      <c r="E88">
        <f t="shared" si="2"/>
        <v>1.2345679012345678E-2</v>
      </c>
    </row>
    <row r="89" spans="1:5" x14ac:dyDescent="0.3">
      <c r="A89" s="1">
        <v>13050006</v>
      </c>
      <c r="B89" s="1" t="s">
        <v>152</v>
      </c>
      <c r="C89" t="s">
        <v>65</v>
      </c>
      <c r="D89">
        <v>81</v>
      </c>
      <c r="E89">
        <f t="shared" si="2"/>
        <v>1.2345679012345678E-2</v>
      </c>
    </row>
    <row r="90" spans="1:5" x14ac:dyDescent="0.3">
      <c r="A90" s="1">
        <v>13050007</v>
      </c>
      <c r="B90" s="1" t="s">
        <v>153</v>
      </c>
      <c r="C90" t="s">
        <v>65</v>
      </c>
      <c r="D90">
        <v>81</v>
      </c>
      <c r="E90">
        <f t="shared" si="2"/>
        <v>1.2345679012345678E-2</v>
      </c>
    </row>
    <row r="91" spans="1:5" x14ac:dyDescent="0.3">
      <c r="A91" s="1">
        <v>13050008</v>
      </c>
      <c r="B91" s="1" t="s">
        <v>154</v>
      </c>
      <c r="C91" t="s">
        <v>65</v>
      </c>
      <c r="D91">
        <v>81</v>
      </c>
      <c r="E91">
        <f t="shared" si="2"/>
        <v>1.2345679012345678E-2</v>
      </c>
    </row>
    <row r="92" spans="1:5" x14ac:dyDescent="0.3">
      <c r="A92" s="1">
        <v>13089001</v>
      </c>
      <c r="B92" s="1" t="s">
        <v>155</v>
      </c>
      <c r="C92" t="s">
        <v>65</v>
      </c>
      <c r="D92">
        <v>81</v>
      </c>
      <c r="E92">
        <f t="shared" si="2"/>
        <v>1.2345679012345678E-2</v>
      </c>
    </row>
    <row r="93" spans="1:5" x14ac:dyDescent="0.3">
      <c r="A93" s="1">
        <v>13089002</v>
      </c>
      <c r="B93" s="1" t="s">
        <v>156</v>
      </c>
      <c r="C93" t="s">
        <v>65</v>
      </c>
      <c r="D93">
        <v>81</v>
      </c>
      <c r="E93">
        <f t="shared" si="2"/>
        <v>1.2345679012345678E-2</v>
      </c>
    </row>
    <row r="94" spans="1:5" x14ac:dyDescent="0.3">
      <c r="A94" s="1">
        <v>13089003</v>
      </c>
      <c r="B94" s="1" t="s">
        <v>157</v>
      </c>
      <c r="C94" t="s">
        <v>65</v>
      </c>
      <c r="D94">
        <v>81</v>
      </c>
      <c r="E94">
        <f t="shared" si="2"/>
        <v>1.2345679012345678E-2</v>
      </c>
    </row>
    <row r="95" spans="1:5" x14ac:dyDescent="0.3">
      <c r="A95" s="1">
        <v>13089004</v>
      </c>
      <c r="B95" s="1" t="s">
        <v>158</v>
      </c>
      <c r="C95" t="s">
        <v>65</v>
      </c>
      <c r="D95">
        <v>81</v>
      </c>
      <c r="E95">
        <f t="shared" si="2"/>
        <v>1.2345679012345678E-2</v>
      </c>
    </row>
    <row r="96" spans="1:5" x14ac:dyDescent="0.3">
      <c r="A96" s="1">
        <v>13089005</v>
      </c>
      <c r="B96" s="1" t="s">
        <v>159</v>
      </c>
      <c r="C96" t="s">
        <v>65</v>
      </c>
      <c r="D96">
        <v>81</v>
      </c>
      <c r="E96">
        <f t="shared" si="2"/>
        <v>1.2345679012345678E-2</v>
      </c>
    </row>
    <row r="97" spans="1:5" x14ac:dyDescent="0.3">
      <c r="A97" s="1">
        <v>13089006</v>
      </c>
      <c r="B97" s="1" t="s">
        <v>160</v>
      </c>
      <c r="C97" t="s">
        <v>65</v>
      </c>
      <c r="D97">
        <v>81</v>
      </c>
      <c r="E97">
        <f t="shared" si="2"/>
        <v>1.2345679012345678E-2</v>
      </c>
    </row>
    <row r="98" spans="1:5" x14ac:dyDescent="0.3">
      <c r="A98" s="1">
        <v>13089007</v>
      </c>
      <c r="B98" s="1" t="s">
        <v>161</v>
      </c>
      <c r="C98" t="s">
        <v>65</v>
      </c>
      <c r="D98">
        <v>81</v>
      </c>
      <c r="E98">
        <f t="shared" ref="E98:E123" si="3">1/D98</f>
        <v>1.2345679012345678E-2</v>
      </c>
    </row>
    <row r="99" spans="1:5" x14ac:dyDescent="0.3">
      <c r="A99" s="1">
        <v>13090001</v>
      </c>
      <c r="B99" s="1" t="s">
        <v>162</v>
      </c>
      <c r="C99" t="s">
        <v>65</v>
      </c>
      <c r="D99">
        <v>81</v>
      </c>
      <c r="E99">
        <f t="shared" si="3"/>
        <v>1.2345679012345678E-2</v>
      </c>
    </row>
    <row r="100" spans="1:5" x14ac:dyDescent="0.3">
      <c r="A100" s="1">
        <v>13090002</v>
      </c>
      <c r="B100" s="1" t="s">
        <v>163</v>
      </c>
      <c r="C100" t="s">
        <v>65</v>
      </c>
      <c r="D100">
        <v>81</v>
      </c>
      <c r="E100">
        <f t="shared" si="3"/>
        <v>1.2345679012345678E-2</v>
      </c>
    </row>
    <row r="101" spans="1:5" x14ac:dyDescent="0.3">
      <c r="A101" s="1">
        <v>13099001</v>
      </c>
      <c r="B101" s="1" t="s">
        <v>164</v>
      </c>
      <c r="C101" t="s">
        <v>65</v>
      </c>
      <c r="D101">
        <v>119</v>
      </c>
      <c r="E101">
        <f t="shared" si="3"/>
        <v>8.4033613445378148E-3</v>
      </c>
    </row>
    <row r="102" spans="1:5" x14ac:dyDescent="0.3">
      <c r="A102" s="1">
        <v>13099002</v>
      </c>
      <c r="B102" s="1" t="s">
        <v>165</v>
      </c>
      <c r="C102" t="s">
        <v>65</v>
      </c>
      <c r="D102">
        <v>119</v>
      </c>
      <c r="E102">
        <f t="shared" si="3"/>
        <v>8.4033613445378148E-3</v>
      </c>
    </row>
    <row r="103" spans="1:5" x14ac:dyDescent="0.3">
      <c r="A103" s="1">
        <v>13110001</v>
      </c>
      <c r="B103" s="1" t="s">
        <v>166</v>
      </c>
      <c r="C103" t="s">
        <v>65</v>
      </c>
      <c r="D103">
        <v>119</v>
      </c>
      <c r="E103">
        <f t="shared" si="3"/>
        <v>8.4033613445378148E-3</v>
      </c>
    </row>
    <row r="104" spans="1:5" x14ac:dyDescent="0.3">
      <c r="A104" s="1">
        <v>13110002</v>
      </c>
      <c r="B104" s="1" t="s">
        <v>167</v>
      </c>
      <c r="C104" t="s">
        <v>65</v>
      </c>
      <c r="D104">
        <v>119</v>
      </c>
      <c r="E104">
        <f t="shared" si="3"/>
        <v>8.4033613445378148E-3</v>
      </c>
    </row>
    <row r="105" spans="1:5" x14ac:dyDescent="0.3">
      <c r="A105" s="1">
        <v>13110003</v>
      </c>
      <c r="B105" s="1" t="s">
        <v>168</v>
      </c>
      <c r="C105" t="s">
        <v>65</v>
      </c>
      <c r="D105">
        <v>119</v>
      </c>
      <c r="E105">
        <f t="shared" si="3"/>
        <v>8.4033613445378148E-3</v>
      </c>
    </row>
    <row r="106" spans="1:5" x14ac:dyDescent="0.3">
      <c r="A106" s="1">
        <v>13110004</v>
      </c>
      <c r="B106" s="1" t="s">
        <v>169</v>
      </c>
      <c r="C106" t="s">
        <v>65</v>
      </c>
      <c r="D106">
        <v>119</v>
      </c>
      <c r="E106">
        <f t="shared" si="3"/>
        <v>8.4033613445378148E-3</v>
      </c>
    </row>
    <row r="107" spans="1:5" x14ac:dyDescent="0.3">
      <c r="A107" s="1">
        <v>13130001</v>
      </c>
      <c r="B107" s="1" t="s">
        <v>170</v>
      </c>
      <c r="C107" t="s">
        <v>65</v>
      </c>
      <c r="D107">
        <v>119</v>
      </c>
      <c r="E107">
        <f t="shared" si="3"/>
        <v>8.4033613445378148E-3</v>
      </c>
    </row>
    <row r="108" spans="1:5" x14ac:dyDescent="0.3">
      <c r="A108" s="1">
        <v>13130002</v>
      </c>
      <c r="B108" s="1" t="s">
        <v>171</v>
      </c>
      <c r="C108" t="s">
        <v>65</v>
      </c>
      <c r="D108">
        <v>119</v>
      </c>
      <c r="E108">
        <f t="shared" si="3"/>
        <v>8.4033613445378148E-3</v>
      </c>
    </row>
    <row r="109" spans="1:5" x14ac:dyDescent="0.3">
      <c r="A109" s="1">
        <v>13130003</v>
      </c>
      <c r="B109" s="1" t="s">
        <v>172</v>
      </c>
      <c r="C109" t="s">
        <v>65</v>
      </c>
      <c r="D109">
        <v>119</v>
      </c>
      <c r="E109">
        <f t="shared" si="3"/>
        <v>8.4033613445378148E-3</v>
      </c>
    </row>
    <row r="110" spans="1:5" x14ac:dyDescent="0.3">
      <c r="A110" s="1">
        <v>23080001</v>
      </c>
      <c r="B110" s="1" t="s">
        <v>173</v>
      </c>
      <c r="C110" t="s">
        <v>65</v>
      </c>
      <c r="D110">
        <v>120</v>
      </c>
      <c r="E110">
        <f t="shared" si="3"/>
        <v>8.3333333333333332E-3</v>
      </c>
    </row>
    <row r="111" spans="1:5" x14ac:dyDescent="0.3">
      <c r="A111" s="1">
        <v>23080002</v>
      </c>
      <c r="B111" s="1" t="s">
        <v>174</v>
      </c>
      <c r="C111" t="s">
        <v>65</v>
      </c>
      <c r="D111">
        <v>120</v>
      </c>
      <c r="E111">
        <f t="shared" si="3"/>
        <v>8.3333333333333332E-3</v>
      </c>
    </row>
    <row r="112" spans="1:5" x14ac:dyDescent="0.3">
      <c r="A112" s="1">
        <v>23080003</v>
      </c>
      <c r="B112" s="1" t="s">
        <v>175</v>
      </c>
      <c r="C112" t="s">
        <v>65</v>
      </c>
      <c r="D112">
        <v>120</v>
      </c>
      <c r="E112">
        <f t="shared" si="3"/>
        <v>8.3333333333333332E-3</v>
      </c>
    </row>
    <row r="113" spans="1:5" x14ac:dyDescent="0.3">
      <c r="A113" s="1">
        <v>23080004</v>
      </c>
      <c r="B113" s="1" t="s">
        <v>176</v>
      </c>
      <c r="C113" t="s">
        <v>65</v>
      </c>
      <c r="D113">
        <v>120</v>
      </c>
      <c r="E113">
        <f t="shared" si="3"/>
        <v>8.3333333333333332E-3</v>
      </c>
    </row>
    <row r="114" spans="1:5" x14ac:dyDescent="0.3">
      <c r="A114" s="1">
        <v>23080005</v>
      </c>
      <c r="B114" s="1" t="s">
        <v>177</v>
      </c>
      <c r="C114" t="s">
        <v>65</v>
      </c>
      <c r="D114">
        <v>120</v>
      </c>
      <c r="E114">
        <f t="shared" si="3"/>
        <v>8.3333333333333332E-3</v>
      </c>
    </row>
    <row r="115" spans="1:5" x14ac:dyDescent="0.3">
      <c r="A115" s="1">
        <v>23080006</v>
      </c>
      <c r="B115" s="1" t="s">
        <v>178</v>
      </c>
      <c r="C115" t="s">
        <v>65</v>
      </c>
      <c r="D115">
        <v>120</v>
      </c>
      <c r="E115">
        <f t="shared" si="3"/>
        <v>8.3333333333333332E-3</v>
      </c>
    </row>
    <row r="116" spans="1:5" x14ac:dyDescent="0.3">
      <c r="A116" s="1">
        <v>23080007</v>
      </c>
      <c r="B116" s="1" t="s">
        <v>179</v>
      </c>
      <c r="C116" t="s">
        <v>65</v>
      </c>
      <c r="D116">
        <v>120</v>
      </c>
      <c r="E116">
        <f t="shared" si="3"/>
        <v>8.3333333333333332E-3</v>
      </c>
    </row>
    <row r="117" spans="1:5" x14ac:dyDescent="0.3">
      <c r="A117" s="1">
        <v>101</v>
      </c>
      <c r="B117" s="1" t="s">
        <v>180</v>
      </c>
      <c r="C117" t="s">
        <v>65</v>
      </c>
      <c r="D117">
        <v>120</v>
      </c>
      <c r="E117">
        <f t="shared" si="3"/>
        <v>8.3333333333333332E-3</v>
      </c>
    </row>
    <row r="118" spans="1:5" x14ac:dyDescent="0.3">
      <c r="A118" s="1">
        <v>102</v>
      </c>
      <c r="B118" s="1" t="s">
        <v>181</v>
      </c>
      <c r="C118" t="s">
        <v>65</v>
      </c>
      <c r="D118">
        <v>120</v>
      </c>
      <c r="E118">
        <f t="shared" si="3"/>
        <v>8.3333333333333332E-3</v>
      </c>
    </row>
    <row r="119" spans="1:5" x14ac:dyDescent="0.3">
      <c r="A119" s="1">
        <v>104</v>
      </c>
      <c r="B119" s="1" t="s">
        <v>182</v>
      </c>
      <c r="C119" t="s">
        <v>65</v>
      </c>
      <c r="D119">
        <v>120</v>
      </c>
      <c r="E119">
        <f t="shared" si="3"/>
        <v>8.3333333333333332E-3</v>
      </c>
    </row>
    <row r="120" spans="1:5" x14ac:dyDescent="0.3">
      <c r="A120" s="1">
        <v>105</v>
      </c>
      <c r="B120" s="1" t="s">
        <v>183</v>
      </c>
      <c r="C120" t="s">
        <v>65</v>
      </c>
      <c r="D120">
        <v>120</v>
      </c>
      <c r="E120">
        <f t="shared" si="3"/>
        <v>8.3333333333333332E-3</v>
      </c>
    </row>
    <row r="121" spans="1:5" x14ac:dyDescent="0.3">
      <c r="A121" s="1">
        <v>106</v>
      </c>
      <c r="B121" s="1" t="s">
        <v>184</v>
      </c>
      <c r="C121" t="s">
        <v>65</v>
      </c>
      <c r="D121">
        <v>120</v>
      </c>
      <c r="E121">
        <f t="shared" si="3"/>
        <v>8.3333333333333332E-3</v>
      </c>
    </row>
    <row r="122" spans="1:5" x14ac:dyDescent="0.3">
      <c r="A122" s="1">
        <v>120</v>
      </c>
      <c r="B122" s="1" t="s">
        <v>185</v>
      </c>
      <c r="C122" t="s">
        <v>65</v>
      </c>
      <c r="D122">
        <v>120</v>
      </c>
      <c r="E122">
        <f t="shared" si="3"/>
        <v>8.3333333333333332E-3</v>
      </c>
    </row>
    <row r="123" spans="1:5" x14ac:dyDescent="0.3">
      <c r="A123" s="1">
        <v>121</v>
      </c>
      <c r="B123" s="1" t="s">
        <v>186</v>
      </c>
      <c r="C123" t="s">
        <v>65</v>
      </c>
      <c r="D123">
        <v>120</v>
      </c>
      <c r="E123">
        <f t="shared" si="3"/>
        <v>8.3333333333333332E-3</v>
      </c>
    </row>
  </sheetData>
  <autoFilter ref="A1:E123" xr:uid="{00000000-0009-0000-0000-000005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V93"/>
  <sheetViews>
    <sheetView workbookViewId="0">
      <selection activeCell="C7" sqref="C7"/>
    </sheetView>
  </sheetViews>
  <sheetFormatPr baseColWidth="10" defaultRowHeight="14.4" x14ac:dyDescent="0.3"/>
  <cols>
    <col min="1" max="1" width="32.88671875" style="17" bestFit="1" customWidth="1"/>
    <col min="2" max="2" width="12.88671875" style="17" bestFit="1" customWidth="1"/>
    <col min="48" max="48" width="30.88671875" style="17" bestFit="1" customWidth="1"/>
  </cols>
  <sheetData>
    <row r="1" spans="1:48" x14ac:dyDescent="0.3">
      <c r="A1" s="3" t="s">
        <v>60</v>
      </c>
      <c r="B1" s="3" t="s">
        <v>36</v>
      </c>
      <c r="C1" s="3" t="s">
        <v>24</v>
      </c>
      <c r="D1" s="3" t="s">
        <v>37</v>
      </c>
      <c r="E1" s="3" t="s">
        <v>43</v>
      </c>
      <c r="F1" s="3" t="s">
        <v>19</v>
      </c>
      <c r="G1" s="3" t="s">
        <v>40</v>
      </c>
      <c r="H1" s="3" t="s">
        <v>39</v>
      </c>
      <c r="I1" s="3" t="s">
        <v>18</v>
      </c>
      <c r="J1" s="3" t="s">
        <v>46</v>
      </c>
      <c r="K1" s="3" t="s">
        <v>38</v>
      </c>
      <c r="L1" s="3" t="s">
        <v>50</v>
      </c>
      <c r="M1" s="3" t="s">
        <v>49</v>
      </c>
      <c r="N1" s="3" t="s">
        <v>51</v>
      </c>
      <c r="O1" s="3" t="s">
        <v>45</v>
      </c>
      <c r="P1" s="3" t="s">
        <v>41</v>
      </c>
      <c r="Q1" s="3" t="s">
        <v>42</v>
      </c>
      <c r="R1" s="3" t="s">
        <v>54</v>
      </c>
      <c r="S1" s="3" t="s">
        <v>14</v>
      </c>
      <c r="T1" s="3" t="s">
        <v>58</v>
      </c>
      <c r="U1" s="3" t="s">
        <v>23</v>
      </c>
      <c r="V1" s="3" t="s">
        <v>35</v>
      </c>
      <c r="W1" s="3" t="s">
        <v>21</v>
      </c>
      <c r="X1" s="3" t="s">
        <v>13</v>
      </c>
      <c r="Y1" s="3" t="s">
        <v>15</v>
      </c>
      <c r="Z1" s="3" t="s">
        <v>52</v>
      </c>
      <c r="AA1" s="3" t="s">
        <v>55</v>
      </c>
      <c r="AB1" s="3" t="s">
        <v>16</v>
      </c>
      <c r="AC1" s="3" t="s">
        <v>56</v>
      </c>
      <c r="AD1" s="3" t="s">
        <v>47</v>
      </c>
      <c r="AE1" s="3" t="s">
        <v>25</v>
      </c>
      <c r="AF1" s="3" t="s">
        <v>32</v>
      </c>
      <c r="AG1" s="3" t="s">
        <v>31</v>
      </c>
      <c r="AH1" s="3" t="s">
        <v>29</v>
      </c>
      <c r="AI1" s="3" t="s">
        <v>27</v>
      </c>
      <c r="AJ1" s="3" t="s">
        <v>30</v>
      </c>
      <c r="AK1" s="3" t="s">
        <v>26</v>
      </c>
      <c r="AL1" s="3" t="s">
        <v>28</v>
      </c>
      <c r="AM1" s="3" t="s">
        <v>33</v>
      </c>
      <c r="AN1" s="3" t="s">
        <v>12</v>
      </c>
      <c r="AO1" s="3" t="s">
        <v>17</v>
      </c>
      <c r="AP1" s="3" t="s">
        <v>22</v>
      </c>
      <c r="AQ1" s="3" t="s">
        <v>34</v>
      </c>
      <c r="AR1" s="3" t="s">
        <v>44</v>
      </c>
      <c r="AS1" s="3" t="s">
        <v>48</v>
      </c>
      <c r="AT1" s="3" t="s">
        <v>57</v>
      </c>
      <c r="AU1" s="3" t="s">
        <v>53</v>
      </c>
      <c r="AV1" s="3" t="s">
        <v>20</v>
      </c>
    </row>
    <row r="2" spans="1:48" x14ac:dyDescent="0.3">
      <c r="A2" s="3" t="s">
        <v>169</v>
      </c>
      <c r="V2" s="4"/>
    </row>
    <row r="3" spans="1:48" x14ac:dyDescent="0.3">
      <c r="A3" s="3" t="s">
        <v>167</v>
      </c>
      <c r="V3" s="4"/>
    </row>
    <row r="4" spans="1:48" x14ac:dyDescent="0.3">
      <c r="A4" s="3" t="s">
        <v>166</v>
      </c>
      <c r="V4" s="4"/>
    </row>
    <row r="5" spans="1:48" x14ac:dyDescent="0.3">
      <c r="A5" s="3" t="s">
        <v>168</v>
      </c>
      <c r="V5" s="4"/>
    </row>
    <row r="6" spans="1:48" x14ac:dyDescent="0.3">
      <c r="A6" s="3" t="s">
        <v>172</v>
      </c>
      <c r="J6" s="4"/>
    </row>
    <row r="7" spans="1:48" x14ac:dyDescent="0.3">
      <c r="A7" s="3" t="s">
        <v>171</v>
      </c>
      <c r="J7" s="4"/>
    </row>
    <row r="8" spans="1:48" x14ac:dyDescent="0.3">
      <c r="A8" s="3" t="s">
        <v>170</v>
      </c>
      <c r="J8" s="4"/>
    </row>
    <row r="9" spans="1:48" x14ac:dyDescent="0.3">
      <c r="A9" s="3" t="s">
        <v>106</v>
      </c>
      <c r="AN9" s="4"/>
    </row>
    <row r="10" spans="1:48" x14ac:dyDescent="0.3">
      <c r="A10" s="3" t="s">
        <v>99</v>
      </c>
      <c r="AN10" s="4"/>
    </row>
    <row r="11" spans="1:48" x14ac:dyDescent="0.3">
      <c r="A11" s="3" t="s">
        <v>97</v>
      </c>
      <c r="AN11" s="4"/>
    </row>
    <row r="12" spans="1:48" x14ac:dyDescent="0.3">
      <c r="A12" s="3" t="s">
        <v>100</v>
      </c>
      <c r="AN12" s="4"/>
    </row>
    <row r="13" spans="1:48" x14ac:dyDescent="0.3">
      <c r="A13" s="3" t="s">
        <v>102</v>
      </c>
      <c r="AN13" s="4"/>
    </row>
    <row r="14" spans="1:48" x14ac:dyDescent="0.3">
      <c r="A14" s="3" t="s">
        <v>101</v>
      </c>
      <c r="AN14" s="4"/>
    </row>
    <row r="15" spans="1:48" x14ac:dyDescent="0.3">
      <c r="A15" s="3" t="s">
        <v>103</v>
      </c>
      <c r="AN15" s="4"/>
    </row>
    <row r="16" spans="1:48" x14ac:dyDescent="0.3">
      <c r="A16" s="3" t="s">
        <v>108</v>
      </c>
      <c r="AN16" s="4"/>
    </row>
    <row r="17" spans="1:47" x14ac:dyDescent="0.3">
      <c r="A17" s="3" t="s">
        <v>104</v>
      </c>
      <c r="AN17" s="4"/>
    </row>
    <row r="18" spans="1:47" x14ac:dyDescent="0.3">
      <c r="A18" s="3" t="s">
        <v>86</v>
      </c>
      <c r="B18" s="4"/>
    </row>
    <row r="19" spans="1:47" x14ac:dyDescent="0.3">
      <c r="A19" s="3" t="s">
        <v>84</v>
      </c>
      <c r="B19" s="4"/>
      <c r="L19" s="4"/>
    </row>
    <row r="20" spans="1:47" x14ac:dyDescent="0.3">
      <c r="A20" s="3" t="s">
        <v>87</v>
      </c>
      <c r="B20" s="4"/>
    </row>
    <row r="21" spans="1:47" x14ac:dyDescent="0.3">
      <c r="A21" s="3" t="s">
        <v>78</v>
      </c>
      <c r="B21" s="4"/>
    </row>
    <row r="22" spans="1:47" x14ac:dyDescent="0.3">
      <c r="A22" s="3" t="s">
        <v>68</v>
      </c>
      <c r="B22" s="4"/>
      <c r="C22" s="4"/>
      <c r="P22" s="4"/>
      <c r="Q22" s="4"/>
      <c r="AA22" s="4"/>
      <c r="AO22" s="4"/>
    </row>
    <row r="23" spans="1:47" x14ac:dyDescent="0.3">
      <c r="A23" s="3" t="s">
        <v>91</v>
      </c>
      <c r="O23" s="4"/>
      <c r="AS23" s="4"/>
    </row>
    <row r="24" spans="1:47" x14ac:dyDescent="0.3">
      <c r="A24" s="3" t="s">
        <v>82</v>
      </c>
      <c r="B24" s="4"/>
      <c r="AA24" s="4"/>
    </row>
    <row r="25" spans="1:47" x14ac:dyDescent="0.3">
      <c r="A25" s="3" t="s">
        <v>67</v>
      </c>
      <c r="B25" s="4"/>
      <c r="C25" s="4"/>
      <c r="G25" s="4"/>
      <c r="Q25" s="4"/>
    </row>
    <row r="26" spans="1:47" x14ac:dyDescent="0.3">
      <c r="A26" s="3" t="s">
        <v>89</v>
      </c>
      <c r="C26" s="4"/>
      <c r="O26" s="4"/>
      <c r="AS26" s="4"/>
    </row>
    <row r="27" spans="1:47" x14ac:dyDescent="0.3">
      <c r="A27" s="3" t="s">
        <v>64</v>
      </c>
      <c r="B27" s="4"/>
      <c r="C27" s="4"/>
      <c r="G27" s="4"/>
      <c r="P27" s="4"/>
      <c r="Q27" s="4"/>
      <c r="AA27" s="4"/>
      <c r="AM27" s="4"/>
      <c r="AO27" s="4"/>
    </row>
    <row r="28" spans="1:47" x14ac:dyDescent="0.3">
      <c r="A28" s="3" t="s">
        <v>88</v>
      </c>
      <c r="B28" s="4"/>
      <c r="C28" s="4"/>
      <c r="O28" s="4"/>
      <c r="AS28" s="4"/>
    </row>
    <row r="29" spans="1:47" x14ac:dyDescent="0.3">
      <c r="A29" s="3" t="s">
        <v>69</v>
      </c>
      <c r="B29" s="4"/>
      <c r="G29" s="4"/>
      <c r="Q29" s="4"/>
      <c r="AA29" s="4"/>
      <c r="AO29" s="4"/>
    </row>
    <row r="30" spans="1:47" x14ac:dyDescent="0.3">
      <c r="A30" s="3" t="s">
        <v>90</v>
      </c>
      <c r="O30" s="4"/>
      <c r="AU30" s="4"/>
    </row>
    <row r="31" spans="1:47" x14ac:dyDescent="0.3">
      <c r="A31" s="3" t="s">
        <v>71</v>
      </c>
      <c r="B31" s="4"/>
      <c r="C31" s="4"/>
      <c r="G31" s="4"/>
      <c r="P31" s="4"/>
      <c r="AA31" s="4"/>
    </row>
    <row r="32" spans="1:47" x14ac:dyDescent="0.3">
      <c r="A32" s="3" t="s">
        <v>70</v>
      </c>
      <c r="B32" s="4"/>
      <c r="C32" s="4"/>
      <c r="G32" s="4"/>
      <c r="N32" s="4"/>
      <c r="P32" s="4"/>
      <c r="Q32" s="4"/>
      <c r="AA32" s="4"/>
      <c r="AB32" s="4"/>
      <c r="AM32" s="4"/>
      <c r="AO32" s="4"/>
    </row>
    <row r="33" spans="1:47" x14ac:dyDescent="0.3">
      <c r="A33" s="3" t="s">
        <v>92</v>
      </c>
      <c r="B33" s="4"/>
      <c r="AS33" s="4"/>
      <c r="AU33" s="4"/>
    </row>
    <row r="34" spans="1:47" x14ac:dyDescent="0.3">
      <c r="A34" s="3" t="s">
        <v>76</v>
      </c>
      <c r="B34" s="4"/>
      <c r="G34" s="4"/>
      <c r="Q34" s="4"/>
      <c r="Z34" s="4"/>
      <c r="AA34" s="4"/>
      <c r="AO34" s="4"/>
    </row>
    <row r="35" spans="1:47" x14ac:dyDescent="0.3">
      <c r="A35" s="3" t="s">
        <v>72</v>
      </c>
      <c r="B35" s="4"/>
      <c r="C35" s="4"/>
      <c r="G35" s="4"/>
      <c r="P35" s="4"/>
      <c r="Q35" s="4"/>
      <c r="AA35" s="4"/>
      <c r="AM35" s="4"/>
      <c r="AO35" s="4"/>
    </row>
    <row r="36" spans="1:47" x14ac:dyDescent="0.3">
      <c r="A36" s="3" t="s">
        <v>93</v>
      </c>
      <c r="B36" s="4"/>
      <c r="AS36" s="4"/>
      <c r="AU36" s="4"/>
    </row>
    <row r="37" spans="1:47" x14ac:dyDescent="0.3">
      <c r="A37" s="3" t="s">
        <v>79</v>
      </c>
      <c r="C37" s="4"/>
      <c r="G37" s="4"/>
      <c r="N37" s="4"/>
      <c r="P37" s="4"/>
      <c r="AA37" s="4"/>
    </row>
    <row r="38" spans="1:47" x14ac:dyDescent="0.3">
      <c r="A38" s="3" t="s">
        <v>96</v>
      </c>
      <c r="AS38" s="4"/>
      <c r="AU38" s="4"/>
    </row>
    <row r="39" spans="1:47" x14ac:dyDescent="0.3">
      <c r="A39" s="3" t="s">
        <v>80</v>
      </c>
      <c r="C39" s="4"/>
      <c r="G39" s="4"/>
      <c r="AA39" s="4"/>
    </row>
    <row r="40" spans="1:47" x14ac:dyDescent="0.3">
      <c r="A40" s="3" t="s">
        <v>95</v>
      </c>
      <c r="AS40" s="4"/>
      <c r="AU40" s="4"/>
    </row>
    <row r="41" spans="1:47" x14ac:dyDescent="0.3">
      <c r="A41" s="3" t="s">
        <v>75</v>
      </c>
      <c r="B41" s="4"/>
    </row>
    <row r="42" spans="1:47" x14ac:dyDescent="0.3">
      <c r="A42" s="3" t="s">
        <v>83</v>
      </c>
      <c r="B42" s="4"/>
      <c r="C42" s="4"/>
      <c r="N42" s="4"/>
      <c r="Q42" s="4"/>
      <c r="AA42" s="4"/>
      <c r="AM42" s="4"/>
    </row>
    <row r="43" spans="1:47" x14ac:dyDescent="0.3">
      <c r="A43" s="3" t="s">
        <v>77</v>
      </c>
      <c r="B43" s="4"/>
      <c r="Q43" s="4"/>
      <c r="AA43" s="4"/>
    </row>
    <row r="44" spans="1:47" x14ac:dyDescent="0.3">
      <c r="A44" s="3" t="s">
        <v>81</v>
      </c>
      <c r="B44" s="4"/>
    </row>
    <row r="45" spans="1:47" x14ac:dyDescent="0.3">
      <c r="A45" s="3" t="s">
        <v>73</v>
      </c>
      <c r="B45" s="4"/>
    </row>
    <row r="46" spans="1:47" x14ac:dyDescent="0.3">
      <c r="A46" s="3" t="s">
        <v>74</v>
      </c>
      <c r="AA46" s="4"/>
    </row>
    <row r="47" spans="1:47" x14ac:dyDescent="0.3">
      <c r="A47" s="3" t="s">
        <v>120</v>
      </c>
      <c r="D47" s="4"/>
      <c r="G47" s="4"/>
      <c r="K47" s="4"/>
      <c r="M47" s="4"/>
      <c r="O47" s="4"/>
      <c r="Q47" s="4"/>
      <c r="U47" s="4"/>
      <c r="V47" s="4"/>
      <c r="AM47" s="4"/>
      <c r="AP47" s="4"/>
      <c r="AQ47" s="4"/>
      <c r="AS47" s="4"/>
    </row>
    <row r="48" spans="1:47" x14ac:dyDescent="0.3">
      <c r="A48" s="3" t="s">
        <v>118</v>
      </c>
      <c r="D48" s="4"/>
      <c r="G48" s="4"/>
      <c r="K48" s="4"/>
      <c r="M48" s="4"/>
      <c r="O48" s="4"/>
      <c r="Q48" s="4"/>
      <c r="R48" s="4"/>
      <c r="U48" s="4"/>
      <c r="V48" s="4"/>
      <c r="AB48" s="4"/>
      <c r="AM48" s="4"/>
      <c r="AP48" s="4"/>
      <c r="AQ48" s="4"/>
      <c r="AS48" s="4"/>
    </row>
    <row r="49" spans="1:47" x14ac:dyDescent="0.3">
      <c r="A49" s="3" t="s">
        <v>117</v>
      </c>
      <c r="D49" s="4"/>
      <c r="G49" s="4"/>
      <c r="K49" s="4"/>
      <c r="M49" s="4"/>
      <c r="O49" s="4"/>
      <c r="Q49" s="4"/>
      <c r="R49" s="4"/>
      <c r="U49" s="4"/>
      <c r="V49" s="4"/>
      <c r="AB49" s="4"/>
      <c r="AM49" s="4"/>
      <c r="AP49" s="4"/>
      <c r="AQ49" s="4"/>
      <c r="AS49" s="4"/>
    </row>
    <row r="50" spans="1:47" x14ac:dyDescent="0.3">
      <c r="A50" s="3" t="s">
        <v>119</v>
      </c>
      <c r="G50" s="4"/>
      <c r="K50" s="4"/>
      <c r="M50" s="4"/>
      <c r="O50" s="4"/>
      <c r="Q50" s="4"/>
      <c r="U50" s="4"/>
      <c r="V50" s="4"/>
      <c r="AM50" s="4"/>
      <c r="AP50" s="4"/>
      <c r="AQ50" s="4"/>
      <c r="AU50" s="4"/>
    </row>
    <row r="51" spans="1:47" x14ac:dyDescent="0.3">
      <c r="A51" s="3" t="s">
        <v>125</v>
      </c>
      <c r="D51" s="4"/>
      <c r="E51" s="4"/>
      <c r="G51" s="4"/>
      <c r="K51" s="4"/>
      <c r="M51" s="4"/>
      <c r="N51" s="4"/>
      <c r="Q51" s="4"/>
      <c r="R51" s="4"/>
      <c r="U51" s="4"/>
      <c r="V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P51" s="4"/>
      <c r="AQ51" s="4"/>
      <c r="AS51" s="4"/>
    </row>
    <row r="52" spans="1:47" x14ac:dyDescent="0.3">
      <c r="A52" s="3" t="s">
        <v>124</v>
      </c>
      <c r="D52" s="4"/>
      <c r="G52" s="4"/>
      <c r="K52" s="4"/>
      <c r="M52" s="4"/>
      <c r="N52" s="4"/>
      <c r="R52" s="4"/>
      <c r="U52" s="4"/>
      <c r="V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P52" s="4"/>
      <c r="AQ52" s="4"/>
      <c r="AS52" s="4"/>
    </row>
    <row r="53" spans="1:47" x14ac:dyDescent="0.3">
      <c r="A53" s="3" t="s">
        <v>115</v>
      </c>
      <c r="G53" s="4"/>
      <c r="K53" s="4"/>
      <c r="M53" s="4"/>
      <c r="N53" s="4"/>
      <c r="Q53" s="4"/>
      <c r="R53" s="4"/>
      <c r="U53" s="4"/>
      <c r="V53" s="4"/>
      <c r="AP53" s="4"/>
      <c r="AS53" s="4"/>
      <c r="AU53" s="4"/>
    </row>
    <row r="54" spans="1:47" x14ac:dyDescent="0.3">
      <c r="A54" s="3" t="s">
        <v>116</v>
      </c>
      <c r="G54" s="4"/>
      <c r="M54" s="4"/>
      <c r="Q54" s="4"/>
      <c r="R54" s="4"/>
      <c r="V54" s="4"/>
      <c r="AP54" s="4"/>
      <c r="AS54" s="4"/>
    </row>
    <row r="55" spans="1:47" x14ac:dyDescent="0.3">
      <c r="A55" s="3" t="s">
        <v>121</v>
      </c>
      <c r="D55" s="4"/>
      <c r="K55" s="4"/>
      <c r="M55" s="4"/>
      <c r="O55" s="4"/>
      <c r="U55" s="4"/>
      <c r="AP55" s="4"/>
    </row>
    <row r="56" spans="1:47" x14ac:dyDescent="0.3">
      <c r="A56" s="3" t="s">
        <v>122</v>
      </c>
      <c r="K56" s="4"/>
      <c r="M56" s="4"/>
      <c r="O56" s="4"/>
      <c r="U56" s="4"/>
      <c r="V56" s="4"/>
      <c r="AP56" s="4"/>
    </row>
    <row r="57" spans="1:47" x14ac:dyDescent="0.3">
      <c r="A57" s="3" t="s">
        <v>123</v>
      </c>
      <c r="G57" s="4"/>
      <c r="M57" s="4"/>
      <c r="O57" s="4"/>
      <c r="Q57" s="4"/>
      <c r="U57" s="4"/>
      <c r="V57" s="4"/>
      <c r="AB57" s="4"/>
      <c r="AP57" s="4"/>
    </row>
    <row r="58" spans="1:47" x14ac:dyDescent="0.3">
      <c r="A58" s="3" t="s">
        <v>163</v>
      </c>
      <c r="AD58" s="4"/>
      <c r="AE58" s="4"/>
      <c r="AF58" s="4"/>
      <c r="AG58" s="4"/>
      <c r="AH58" s="4"/>
      <c r="AI58" s="4"/>
      <c r="AJ58" s="4"/>
      <c r="AK58" s="4"/>
      <c r="AL58" s="4"/>
    </row>
    <row r="59" spans="1:47" x14ac:dyDescent="0.3">
      <c r="A59" s="3" t="s">
        <v>162</v>
      </c>
      <c r="AD59" s="4"/>
      <c r="AE59" s="4"/>
      <c r="AF59" s="4"/>
      <c r="AG59" s="4"/>
      <c r="AH59" s="4"/>
      <c r="AI59" s="4"/>
      <c r="AJ59" s="4"/>
      <c r="AK59" s="4"/>
      <c r="AL59" s="4"/>
    </row>
    <row r="60" spans="1:47" x14ac:dyDescent="0.3">
      <c r="A60" s="3" t="s">
        <v>111</v>
      </c>
      <c r="AT60" s="4"/>
    </row>
    <row r="61" spans="1:47" x14ac:dyDescent="0.3">
      <c r="A61" s="3" t="s">
        <v>110</v>
      </c>
      <c r="AT61" s="4"/>
    </row>
    <row r="62" spans="1:47" x14ac:dyDescent="0.3">
      <c r="A62" s="3" t="s">
        <v>183</v>
      </c>
      <c r="D62" s="4"/>
      <c r="E62" s="4"/>
      <c r="G62" s="4"/>
      <c r="K62" s="4"/>
      <c r="Q62" s="4"/>
      <c r="T62" s="4"/>
    </row>
    <row r="63" spans="1:47" x14ac:dyDescent="0.3">
      <c r="A63" s="3" t="s">
        <v>182</v>
      </c>
      <c r="D63" s="4"/>
      <c r="E63" s="4"/>
      <c r="G63" s="4"/>
      <c r="K63" s="4"/>
      <c r="Q63" s="4"/>
      <c r="T63" s="4"/>
    </row>
    <row r="64" spans="1:47" x14ac:dyDescent="0.3">
      <c r="A64" s="3" t="s">
        <v>184</v>
      </c>
      <c r="D64" s="4"/>
      <c r="E64" s="4"/>
      <c r="G64" s="4"/>
      <c r="K64" s="4"/>
      <c r="Q64" s="4"/>
      <c r="T64" s="4"/>
    </row>
    <row r="65" spans="1:48" x14ac:dyDescent="0.3">
      <c r="A65" s="3" t="s">
        <v>180</v>
      </c>
      <c r="T65" s="4"/>
      <c r="AO65" s="4"/>
    </row>
    <row r="66" spans="1:48" x14ac:dyDescent="0.3">
      <c r="A66" s="3" t="s">
        <v>181</v>
      </c>
      <c r="R66" s="4"/>
      <c r="T66" s="4"/>
    </row>
    <row r="67" spans="1:48" x14ac:dyDescent="0.3">
      <c r="A67" s="3" t="s">
        <v>176</v>
      </c>
      <c r="D67" s="4"/>
      <c r="E67" s="4"/>
      <c r="AP67" s="4"/>
    </row>
    <row r="68" spans="1:48" x14ac:dyDescent="0.3">
      <c r="A68" s="3" t="s">
        <v>179</v>
      </c>
      <c r="D68" s="4"/>
      <c r="AP68" s="4"/>
      <c r="AS68" s="4"/>
    </row>
    <row r="69" spans="1:48" x14ac:dyDescent="0.3">
      <c r="A69" s="3" t="s">
        <v>173</v>
      </c>
      <c r="AP69" s="4"/>
      <c r="AS69" s="4"/>
    </row>
    <row r="70" spans="1:48" x14ac:dyDescent="0.3">
      <c r="A70" s="3" t="s">
        <v>177</v>
      </c>
      <c r="AP70" s="4"/>
    </row>
    <row r="71" spans="1:48" x14ac:dyDescent="0.3">
      <c r="A71" s="3" t="s">
        <v>175</v>
      </c>
      <c r="AP71" s="4"/>
      <c r="AS71" s="4"/>
    </row>
    <row r="72" spans="1:48" x14ac:dyDescent="0.3">
      <c r="A72" s="3" t="s">
        <v>178</v>
      </c>
      <c r="D72" s="4"/>
      <c r="E72" s="4"/>
      <c r="AS72" s="4"/>
    </row>
    <row r="73" spans="1:48" x14ac:dyDescent="0.3">
      <c r="A73" s="3" t="s">
        <v>174</v>
      </c>
      <c r="D73" s="4"/>
      <c r="AP73" s="4"/>
    </row>
    <row r="74" spans="1:48" x14ac:dyDescent="0.3">
      <c r="A74" s="3" t="s">
        <v>154</v>
      </c>
      <c r="F74" s="4"/>
      <c r="I74" s="4"/>
      <c r="S74" s="4"/>
      <c r="X74" s="4"/>
      <c r="Y74" s="4"/>
      <c r="AC74" s="4"/>
      <c r="AV74" s="4"/>
    </row>
    <row r="75" spans="1:48" x14ac:dyDescent="0.3">
      <c r="A75" s="3" t="s">
        <v>148</v>
      </c>
      <c r="F75" s="4"/>
      <c r="I75" s="4"/>
      <c r="S75" s="4"/>
      <c r="W75" s="4"/>
      <c r="X75" s="4"/>
      <c r="Y75" s="4"/>
      <c r="AC75" s="4"/>
      <c r="AV75" s="4"/>
    </row>
    <row r="76" spans="1:48" x14ac:dyDescent="0.3">
      <c r="A76" s="3" t="s">
        <v>147</v>
      </c>
      <c r="F76" s="4"/>
      <c r="I76" s="4"/>
      <c r="S76" s="4"/>
      <c r="W76" s="4"/>
      <c r="X76" s="4"/>
      <c r="Y76" s="4"/>
      <c r="AC76" s="4"/>
      <c r="AR76" s="4"/>
      <c r="AV76" s="4"/>
    </row>
    <row r="77" spans="1:48" x14ac:dyDescent="0.3">
      <c r="A77" s="3" t="s">
        <v>149</v>
      </c>
      <c r="F77" s="4"/>
      <c r="I77" s="4"/>
      <c r="S77" s="4"/>
      <c r="W77" s="4"/>
      <c r="X77" s="4"/>
      <c r="Y77" s="4"/>
      <c r="AC77" s="4"/>
      <c r="AR77" s="4"/>
      <c r="AV77" s="4"/>
    </row>
    <row r="78" spans="1:48" x14ac:dyDescent="0.3">
      <c r="A78" s="3" t="s">
        <v>153</v>
      </c>
      <c r="F78" s="4"/>
      <c r="I78" s="4"/>
      <c r="S78" s="4"/>
      <c r="W78" s="4"/>
      <c r="X78" s="4"/>
      <c r="Y78" s="4"/>
      <c r="AC78" s="4"/>
      <c r="AR78" s="4"/>
      <c r="AV78" s="4"/>
    </row>
    <row r="79" spans="1:48" x14ac:dyDescent="0.3">
      <c r="A79" s="3" t="s">
        <v>152</v>
      </c>
      <c r="F79" s="4"/>
      <c r="I79" s="4"/>
      <c r="S79" s="4"/>
      <c r="W79" s="4"/>
      <c r="X79" s="4"/>
      <c r="Y79" s="4"/>
      <c r="AC79" s="4"/>
      <c r="AR79" s="4"/>
      <c r="AV79" s="4"/>
    </row>
    <row r="80" spans="1:48" x14ac:dyDescent="0.3">
      <c r="A80" s="3" t="s">
        <v>150</v>
      </c>
      <c r="I80" s="4"/>
    </row>
    <row r="81" spans="1:43" x14ac:dyDescent="0.3">
      <c r="A81" s="3" t="s">
        <v>159</v>
      </c>
      <c r="D81" s="4"/>
      <c r="G81" s="4"/>
      <c r="R81" s="4"/>
      <c r="V81" s="4"/>
      <c r="AO81" s="4"/>
    </row>
    <row r="82" spans="1:43" x14ac:dyDescent="0.3">
      <c r="A82" s="3" t="s">
        <v>156</v>
      </c>
      <c r="B82" s="4"/>
      <c r="D82" s="4"/>
      <c r="G82" s="4"/>
      <c r="O82" s="4"/>
      <c r="R82" s="4"/>
      <c r="U82" s="4"/>
      <c r="V82" s="4"/>
      <c r="AA82" s="4"/>
      <c r="AD82" s="4"/>
      <c r="AF82" s="4"/>
      <c r="AG82" s="4"/>
      <c r="AI82" s="4"/>
      <c r="AO82" s="4"/>
    </row>
    <row r="83" spans="1:43" x14ac:dyDescent="0.3">
      <c r="A83" s="3" t="s">
        <v>165</v>
      </c>
      <c r="G83" s="4"/>
      <c r="K83" s="4"/>
      <c r="V83" s="4"/>
      <c r="AQ83" s="4"/>
    </row>
    <row r="84" spans="1:43" x14ac:dyDescent="0.3">
      <c r="A84" s="3" t="s">
        <v>160</v>
      </c>
      <c r="D84" s="4"/>
      <c r="R84" s="4"/>
      <c r="V84" s="4"/>
      <c r="AA84" s="4"/>
    </row>
    <row r="85" spans="1:43" x14ac:dyDescent="0.3">
      <c r="A85" s="3" t="s">
        <v>157</v>
      </c>
      <c r="B85" s="4"/>
      <c r="D85" s="4"/>
      <c r="G85" s="4"/>
      <c r="O85" s="4"/>
      <c r="R85" s="4"/>
      <c r="U85" s="4"/>
      <c r="V85" s="4"/>
      <c r="AA85" s="4"/>
      <c r="AD85" s="4"/>
      <c r="AF85" s="4"/>
      <c r="AG85" s="4"/>
      <c r="AH85" s="4"/>
      <c r="AI85" s="4"/>
      <c r="AL85" s="4"/>
      <c r="AO85" s="4"/>
    </row>
    <row r="86" spans="1:43" x14ac:dyDescent="0.3">
      <c r="A86" s="3" t="s">
        <v>155</v>
      </c>
      <c r="B86" s="4"/>
      <c r="D86" s="4"/>
      <c r="E86" s="4"/>
      <c r="G86" s="4"/>
      <c r="O86" s="4"/>
      <c r="R86" s="4"/>
      <c r="U86" s="4"/>
      <c r="V86" s="4"/>
      <c r="AA86" s="4"/>
      <c r="AD86" s="4"/>
      <c r="AF86" s="4"/>
      <c r="AG86" s="4"/>
      <c r="AH86" s="4"/>
      <c r="AK86" s="4"/>
      <c r="AO86" s="4"/>
    </row>
    <row r="87" spans="1:43" x14ac:dyDescent="0.3">
      <c r="A87" s="3" t="s">
        <v>164</v>
      </c>
      <c r="G87" s="4"/>
      <c r="K87" s="4"/>
      <c r="V87" s="4"/>
      <c r="AQ87" s="4"/>
    </row>
    <row r="88" spans="1:43" x14ac:dyDescent="0.3">
      <c r="A88" s="3" t="s">
        <v>158</v>
      </c>
      <c r="B88" s="4"/>
      <c r="D88" s="4"/>
      <c r="E88" s="4"/>
      <c r="O88" s="4"/>
      <c r="U88" s="4"/>
      <c r="AA88" s="4"/>
    </row>
    <row r="89" spans="1:43" x14ac:dyDescent="0.3">
      <c r="A89" s="3" t="s">
        <v>113</v>
      </c>
      <c r="H89" s="4"/>
    </row>
    <row r="90" spans="1:43" x14ac:dyDescent="0.3">
      <c r="A90" s="3" t="s">
        <v>112</v>
      </c>
      <c r="H90" s="4"/>
    </row>
    <row r="91" spans="1:43" x14ac:dyDescent="0.3">
      <c r="A91" s="3" t="s">
        <v>114</v>
      </c>
      <c r="H91" s="4"/>
    </row>
    <row r="92" spans="1:43" x14ac:dyDescent="0.3">
      <c r="A92" s="3" t="s">
        <v>186</v>
      </c>
      <c r="G92" s="4"/>
      <c r="T92" s="4"/>
    </row>
    <row r="93" spans="1:43" x14ac:dyDescent="0.3">
      <c r="A93" s="3" t="s">
        <v>185</v>
      </c>
      <c r="G93" s="4"/>
      <c r="Q93" s="4"/>
      <c r="T93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M7"/>
  <sheetViews>
    <sheetView workbookViewId="0">
      <pane ySplit="1" topLeftCell="A2" activePane="bottomLeft" state="frozen"/>
      <selection pane="bottomLeft" activeCell="I11" sqref="I11"/>
    </sheetView>
  </sheetViews>
  <sheetFormatPr baseColWidth="10" defaultColWidth="8.88671875" defaultRowHeight="14.4" x14ac:dyDescent="0.3"/>
  <cols>
    <col min="1" max="1" width="15" style="17" customWidth="1"/>
    <col min="2" max="2" width="12" style="17" customWidth="1"/>
    <col min="3" max="3" width="18" style="17" customWidth="1"/>
    <col min="4" max="4" width="13" style="17" customWidth="1"/>
    <col min="5" max="8" width="12" style="17" customWidth="1"/>
    <col min="9" max="9" width="18" style="17" customWidth="1"/>
    <col min="10" max="10" width="11.88671875" style="17" hidden="1" customWidth="1"/>
    <col min="11" max="11" width="13" style="17" hidden="1" customWidth="1"/>
    <col min="12" max="12" width="16" style="17" customWidth="1"/>
    <col min="13" max="13" width="10" style="17" customWidth="1"/>
  </cols>
  <sheetData>
    <row r="1" spans="1:13" ht="28.05" customHeight="1" x14ac:dyDescent="0.3">
      <c r="A1" s="5" t="s">
        <v>0</v>
      </c>
      <c r="B1" s="5" t="s">
        <v>1</v>
      </c>
      <c r="C1" s="5" t="s">
        <v>187</v>
      </c>
      <c r="D1" s="5" t="s">
        <v>188</v>
      </c>
      <c r="E1" s="5" t="s">
        <v>189</v>
      </c>
      <c r="F1" s="5" t="s">
        <v>190</v>
      </c>
      <c r="G1" s="7" t="s">
        <v>191</v>
      </c>
      <c r="H1" s="5" t="s">
        <v>192</v>
      </c>
      <c r="I1" s="5" t="s">
        <v>193</v>
      </c>
      <c r="J1" t="s">
        <v>194</v>
      </c>
      <c r="K1" s="5" t="s">
        <v>195</v>
      </c>
      <c r="L1" s="5" t="s">
        <v>196</v>
      </c>
      <c r="M1" s="9" t="s">
        <v>197</v>
      </c>
    </row>
    <row r="2" spans="1:13" x14ac:dyDescent="0.3">
      <c r="A2" s="6">
        <v>46080</v>
      </c>
      <c r="B2">
        <v>100407</v>
      </c>
      <c r="C2" t="s">
        <v>198</v>
      </c>
      <c r="D2" s="6">
        <v>46080</v>
      </c>
      <c r="G2" t="e">
        <f>+IF((VLOOKUP(B2,#REF!,11,FALSE))=$J$1,$J$1,$K$1)</f>
        <v>#REF!</v>
      </c>
      <c r="I2" t="str">
        <f>IF(OR($A2="",$B2=""),"",TEXT($A2,"yyyymmdd")&amp;"|"&amp;$B2)</f>
        <v>20260227|100407</v>
      </c>
      <c r="L2">
        <v>5</v>
      </c>
      <c r="M2" s="10" t="str">
        <f>IFERROR(MATCH(A2,#REF!,0),IFERROR(MATCH(A2,#REF!,0)+1,""))</f>
        <v/>
      </c>
    </row>
    <row r="3" spans="1:13" x14ac:dyDescent="0.3">
      <c r="A3" s="6">
        <v>46080</v>
      </c>
      <c r="B3">
        <v>100467</v>
      </c>
      <c r="C3" t="s">
        <v>198</v>
      </c>
      <c r="D3" s="6">
        <v>46080</v>
      </c>
      <c r="G3" t="e">
        <f>+IF((VLOOKUP(B3,#REF!,11,FALSE))=$J$1,$J$1,$K$1)</f>
        <v>#REF!</v>
      </c>
      <c r="I3" t="str">
        <f>IF(OR($A3="",$B3=""),"",TEXT($A3,"yyyymmdd")&amp;"|"&amp;$B3)</f>
        <v>20260227|100467</v>
      </c>
      <c r="L3">
        <v>10</v>
      </c>
      <c r="M3" s="10" t="str">
        <f>IFERROR(MATCH(A3,#REF!,0),IFERROR(MATCH(A3,#REF!,0)+1,""))</f>
        <v/>
      </c>
    </row>
    <row r="4" spans="1:13" x14ac:dyDescent="0.3">
      <c r="A4" s="6">
        <v>46080</v>
      </c>
      <c r="B4">
        <v>100572</v>
      </c>
      <c r="C4" t="s">
        <v>198</v>
      </c>
      <c r="D4" s="6">
        <v>46080</v>
      </c>
      <c r="G4" t="e">
        <f>+IF((VLOOKUP(B4,#REF!,11,FALSE))=$J$1,$J$1,$K$1)</f>
        <v>#REF!</v>
      </c>
      <c r="I4" t="str">
        <f>IF(OR($A4="",$B4=""),"",TEXT($A4,"yyyymmdd")&amp;"|"&amp;$B4)</f>
        <v>20260227|100572</v>
      </c>
      <c r="M4" s="10" t="str">
        <f>IFERROR(MATCH(A4,#REF!,0),IFERROR(MATCH(A4,#REF!,0)+1,""))</f>
        <v/>
      </c>
    </row>
    <row r="5" spans="1:13" x14ac:dyDescent="0.3">
      <c r="A5" s="6">
        <v>46080</v>
      </c>
      <c r="B5">
        <v>100613</v>
      </c>
      <c r="C5" t="s">
        <v>198</v>
      </c>
      <c r="D5" s="6">
        <v>46080</v>
      </c>
      <c r="G5" t="e">
        <f>+IF((VLOOKUP(B5,#REF!,11,FALSE))=$J$1,$J$1,$K$1)</f>
        <v>#REF!</v>
      </c>
      <c r="I5" t="str">
        <f>IF(OR($A5="",$B5=""),"",TEXT($A5,"yyyymmdd")&amp;"|"&amp;$B5)</f>
        <v>20260227|100613</v>
      </c>
      <c r="L5">
        <v>1</v>
      </c>
      <c r="M5" s="10" t="str">
        <f>IFERROR(MATCH(A5,#REF!,0),IFERROR(MATCH(A5,#REF!,0)+1,""))</f>
        <v/>
      </c>
    </row>
    <row r="6" spans="1:13" x14ac:dyDescent="0.3">
      <c r="A6" s="6">
        <v>46085</v>
      </c>
      <c r="B6">
        <v>100831</v>
      </c>
      <c r="C6" t="s">
        <v>198</v>
      </c>
      <c r="D6" s="6">
        <v>46081</v>
      </c>
      <c r="G6" t="e">
        <f>+IF((VLOOKUP(B6,#REF!,11,FALSE))=$J$1,$J$1,$K$1)</f>
        <v>#REF!</v>
      </c>
      <c r="I6" t="str">
        <f>IF(OR($A6="",$B6=""),"",TEXT($A6,"yyyymmdd")&amp;"|"&amp;$B6)</f>
        <v>20260304|100831</v>
      </c>
      <c r="L6">
        <v>28</v>
      </c>
      <c r="M6" s="10" t="str">
        <f>IFERROR(MATCH(A6,#REF!,0),IFERROR(MATCH(A6,#REF!,0)+1,""))</f>
        <v/>
      </c>
    </row>
    <row r="7" spans="1:13" x14ac:dyDescent="0.3">
      <c r="A7" s="6"/>
    </row>
  </sheetData>
  <dataValidations count="2">
    <dataValidation type="list" allowBlank="1" sqref="C2:C1048576" xr:uid="{00000000-0002-0000-0700-000000000000}">
      <formula1>"SI,NO"</formula1>
    </dataValidation>
    <dataValidation type="decimal" operator="greaterThanOrEqual" allowBlank="1" error="Ingresá un número &gt;= 0" prompt="Cantidad de pallets a cargar en el turno (opcional). Si se deja vacío, se asume el total del pedido." sqref="L2:L500" xr:uid="{00000000-0002-0000-0700-000001000000}">
      <formula1>0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F739"/>
  <sheetViews>
    <sheetView workbookViewId="0">
      <selection activeCell="F143" sqref="F143"/>
    </sheetView>
  </sheetViews>
  <sheetFormatPr baseColWidth="10" defaultRowHeight="14.4" x14ac:dyDescent="0.3"/>
  <cols>
    <col min="1" max="1" width="10.33203125" style="17" bestFit="1" customWidth="1"/>
    <col min="2" max="2" width="9" style="17" bestFit="1" customWidth="1"/>
    <col min="3" max="3" width="39.5546875" style="17" bestFit="1" customWidth="1"/>
    <col min="4" max="4" width="39.5546875" style="17" customWidth="1"/>
    <col min="5" max="5" width="5.109375" style="17" bestFit="1" customWidth="1"/>
    <col min="6" max="6" width="6.109375" style="19" customWidth="1"/>
  </cols>
  <sheetData>
    <row r="1" spans="1:6" ht="33" customHeight="1" x14ac:dyDescent="0.3">
      <c r="A1" s="24" t="s">
        <v>199</v>
      </c>
      <c r="B1" s="25"/>
      <c r="C1" s="25"/>
      <c r="D1" s="25"/>
      <c r="E1" s="25"/>
      <c r="F1" s="26"/>
    </row>
    <row r="2" spans="1:6" ht="28.8" customHeight="1" x14ac:dyDescent="0.3">
      <c r="A2" s="5" t="s">
        <v>200</v>
      </c>
      <c r="B2" s="5" t="s">
        <v>59</v>
      </c>
      <c r="C2" s="5" t="s">
        <v>60</v>
      </c>
      <c r="D2" s="5" t="s">
        <v>201</v>
      </c>
      <c r="E2" s="5" t="s">
        <v>202</v>
      </c>
      <c r="F2" s="20" t="s">
        <v>203</v>
      </c>
    </row>
    <row r="3" spans="1:6" x14ac:dyDescent="0.3">
      <c r="A3" s="6" t="e">
        <f>#REF!</f>
        <v>#REF!</v>
      </c>
      <c r="B3" s="1">
        <v>11010001</v>
      </c>
      <c r="C3" s="1" t="s">
        <v>64</v>
      </c>
      <c r="D3" s="1">
        <v>995</v>
      </c>
      <c r="E3" t="s">
        <v>65</v>
      </c>
      <c r="F3" s="19">
        <f>IFERROR(D3*_xlfn.XLOOKUP(B3,MA_ARTICULOS!$A:$A,MA_ARTICULOS!$E:$E,0),"")</f>
        <v>27.638888888888886</v>
      </c>
    </row>
    <row r="4" spans="1:6" x14ac:dyDescent="0.3">
      <c r="A4" s="6" t="e">
        <f>#REF!</f>
        <v>#REF!</v>
      </c>
      <c r="B4" s="1">
        <v>11010002</v>
      </c>
      <c r="C4" s="1" t="s">
        <v>66</v>
      </c>
      <c r="D4" s="1">
        <v>45</v>
      </c>
      <c r="E4" t="s">
        <v>65</v>
      </c>
      <c r="F4" s="19">
        <f>IFERROR(D4*_xlfn.XLOOKUP(B4,MA_ARTICULOS!$A:$A,MA_ARTICULOS!$E:$E,0),"")</f>
        <v>1.25</v>
      </c>
    </row>
    <row r="5" spans="1:6" x14ac:dyDescent="0.3">
      <c r="A5" s="6" t="e">
        <f>#REF!</f>
        <v>#REF!</v>
      </c>
      <c r="B5" s="1">
        <v>11010003</v>
      </c>
      <c r="C5" s="1" t="s">
        <v>67</v>
      </c>
      <c r="D5" s="1">
        <v>717</v>
      </c>
      <c r="E5" t="s">
        <v>65</v>
      </c>
      <c r="F5" s="19">
        <f>IFERROR(D5*_xlfn.XLOOKUP(B5,MA_ARTICULOS!$A:$A,MA_ARTICULOS!$E:$E,0),"")</f>
        <v>19.916666666666664</v>
      </c>
    </row>
    <row r="6" spans="1:6" x14ac:dyDescent="0.3">
      <c r="A6" s="6" t="e">
        <f>#REF!</f>
        <v>#REF!</v>
      </c>
      <c r="B6" s="1">
        <v>11010004</v>
      </c>
      <c r="C6" s="1" t="s">
        <v>68</v>
      </c>
      <c r="D6" s="1">
        <v>749</v>
      </c>
      <c r="E6" t="s">
        <v>65</v>
      </c>
      <c r="F6" s="19">
        <f>IFERROR(D6*_xlfn.XLOOKUP(B6,MA_ARTICULOS!$A:$A,MA_ARTICULOS!$E:$E,0),"")</f>
        <v>20.805555555555554</v>
      </c>
    </row>
    <row r="7" spans="1:6" x14ac:dyDescent="0.3">
      <c r="A7" s="6" t="e">
        <f>#REF!</f>
        <v>#REF!</v>
      </c>
      <c r="B7" s="1">
        <v>11010005</v>
      </c>
      <c r="C7" s="1" t="s">
        <v>69</v>
      </c>
      <c r="D7" s="1">
        <v>779</v>
      </c>
      <c r="E7" t="s">
        <v>65</v>
      </c>
      <c r="F7" s="19">
        <f>IFERROR(D7*_xlfn.XLOOKUP(B7,MA_ARTICULOS!$A:$A,MA_ARTICULOS!$E:$E,0),"")</f>
        <v>21.638888888888889</v>
      </c>
    </row>
    <row r="8" spans="1:6" x14ac:dyDescent="0.3">
      <c r="A8" s="6" t="e">
        <f>#REF!</f>
        <v>#REF!</v>
      </c>
      <c r="B8" s="1">
        <v>11010007</v>
      </c>
      <c r="C8" s="1" t="s">
        <v>70</v>
      </c>
      <c r="D8" s="1">
        <v>331</v>
      </c>
      <c r="E8" t="s">
        <v>65</v>
      </c>
      <c r="F8" s="19">
        <f>IFERROR(D8*_xlfn.XLOOKUP(B8,MA_ARTICULOS!$A:$A,MA_ARTICULOS!$E:$E,0),"")</f>
        <v>9.1944444444444446</v>
      </c>
    </row>
    <row r="9" spans="1:6" x14ac:dyDescent="0.3">
      <c r="A9" s="6" t="e">
        <f>#REF!</f>
        <v>#REF!</v>
      </c>
      <c r="B9" s="1">
        <v>11010008</v>
      </c>
      <c r="C9" s="1" t="s">
        <v>71</v>
      </c>
      <c r="D9" s="1">
        <v>243</v>
      </c>
      <c r="E9" t="s">
        <v>65</v>
      </c>
      <c r="F9" s="19">
        <f>IFERROR(D9*_xlfn.XLOOKUP(B9,MA_ARTICULOS!$A:$A,MA_ARTICULOS!$E:$E,0),"")</f>
        <v>6.75</v>
      </c>
    </row>
    <row r="10" spans="1:6" x14ac:dyDescent="0.3">
      <c r="A10" s="6" t="e">
        <f>#REF!</f>
        <v>#REF!</v>
      </c>
      <c r="B10" s="1">
        <v>11010009</v>
      </c>
      <c r="C10" s="1" t="s">
        <v>72</v>
      </c>
      <c r="D10" s="1">
        <v>479</v>
      </c>
      <c r="E10" t="s">
        <v>65</v>
      </c>
      <c r="F10" s="19">
        <f>IFERROR(D10*_xlfn.XLOOKUP(B10,MA_ARTICULOS!$A:$A,MA_ARTICULOS!$E:$E,0),"")</f>
        <v>13.305555555555555</v>
      </c>
    </row>
    <row r="11" spans="1:6" x14ac:dyDescent="0.3">
      <c r="A11" s="6" t="e">
        <f>#REF!</f>
        <v>#REF!</v>
      </c>
      <c r="B11" s="1">
        <v>11010010</v>
      </c>
      <c r="C11" s="1" t="s">
        <v>73</v>
      </c>
      <c r="D11" s="1">
        <v>149</v>
      </c>
      <c r="E11" t="s">
        <v>65</v>
      </c>
      <c r="F11" s="19">
        <f>IFERROR(D11*_xlfn.XLOOKUP(B11,MA_ARTICULOS!$A:$A,MA_ARTICULOS!$E:$E,0),"")</f>
        <v>4.1388888888888884</v>
      </c>
    </row>
    <row r="12" spans="1:6" x14ac:dyDescent="0.3">
      <c r="A12" s="6" t="e">
        <f>#REF!</f>
        <v>#REF!</v>
      </c>
      <c r="B12" s="1">
        <v>11010011</v>
      </c>
      <c r="C12" s="1" t="s">
        <v>74</v>
      </c>
      <c r="D12" s="1">
        <v>120</v>
      </c>
      <c r="E12" t="s">
        <v>65</v>
      </c>
      <c r="F12" s="19">
        <f>IFERROR(D12*_xlfn.XLOOKUP(B12,MA_ARTICULOS!$A:$A,MA_ARTICULOS!$E:$E,0),"")</f>
        <v>3.333333333333333</v>
      </c>
    </row>
    <row r="13" spans="1:6" x14ac:dyDescent="0.3">
      <c r="A13" s="6" t="e">
        <f>#REF!</f>
        <v>#REF!</v>
      </c>
      <c r="B13" s="1">
        <v>11010013</v>
      </c>
      <c r="C13" s="1" t="s">
        <v>75</v>
      </c>
      <c r="D13" s="1">
        <v>79</v>
      </c>
      <c r="E13" t="s">
        <v>65</v>
      </c>
      <c r="F13" s="19">
        <f>IFERROR(D13*_xlfn.XLOOKUP(B13,MA_ARTICULOS!$A:$A,MA_ARTICULOS!$E:$E,0),"")</f>
        <v>2.1944444444444442</v>
      </c>
    </row>
    <row r="14" spans="1:6" x14ac:dyDescent="0.3">
      <c r="A14" s="6" t="e">
        <f>#REF!</f>
        <v>#REF!</v>
      </c>
      <c r="B14" s="1">
        <v>11010014</v>
      </c>
      <c r="C14" s="1" t="s">
        <v>76</v>
      </c>
      <c r="D14" s="1">
        <v>7</v>
      </c>
      <c r="E14" t="s">
        <v>65</v>
      </c>
      <c r="F14" s="19">
        <f>IFERROR(D14*_xlfn.XLOOKUP(B14,MA_ARTICULOS!$A:$A,MA_ARTICULOS!$E:$E,0),"")</f>
        <v>0.19444444444444442</v>
      </c>
    </row>
    <row r="15" spans="1:6" x14ac:dyDescent="0.3">
      <c r="A15" s="6" t="e">
        <f>#REF!</f>
        <v>#REF!</v>
      </c>
      <c r="B15" s="1">
        <v>11010015</v>
      </c>
      <c r="C15" s="1" t="s">
        <v>77</v>
      </c>
      <c r="D15" s="1">
        <v>4</v>
      </c>
      <c r="E15" t="s">
        <v>65</v>
      </c>
      <c r="F15" s="19">
        <f>IFERROR(D15*_xlfn.XLOOKUP(B15,MA_ARTICULOS!$A:$A,MA_ARTICULOS!$E:$E,0),"")</f>
        <v>0.1111111111111111</v>
      </c>
    </row>
    <row r="16" spans="1:6" x14ac:dyDescent="0.3">
      <c r="A16" s="6" t="e">
        <f>#REF!</f>
        <v>#REF!</v>
      </c>
      <c r="B16" s="1">
        <v>11010018</v>
      </c>
      <c r="C16" s="1" t="s">
        <v>78</v>
      </c>
      <c r="D16" s="1">
        <v>412</v>
      </c>
      <c r="E16" t="s">
        <v>65</v>
      </c>
      <c r="F16" s="19">
        <f>IFERROR(D16*_xlfn.XLOOKUP(B16,MA_ARTICULOS!$A:$A,MA_ARTICULOS!$E:$E,0),"")</f>
        <v>11.444444444444445</v>
      </c>
    </row>
    <row r="17" spans="1:6" x14ac:dyDescent="0.3">
      <c r="A17" s="6" t="e">
        <f>#REF!</f>
        <v>#REF!</v>
      </c>
      <c r="B17" s="1">
        <v>11010019</v>
      </c>
      <c r="C17" s="1" t="s">
        <v>79</v>
      </c>
      <c r="D17" s="1">
        <v>518</v>
      </c>
      <c r="E17" t="s">
        <v>65</v>
      </c>
      <c r="F17" s="19">
        <f>IFERROR(D17*_xlfn.XLOOKUP(B17,MA_ARTICULOS!$A:$A,MA_ARTICULOS!$E:$E,0),"")</f>
        <v>14.388888888888888</v>
      </c>
    </row>
    <row r="18" spans="1:6" x14ac:dyDescent="0.3">
      <c r="A18" s="6" t="e">
        <f>#REF!</f>
        <v>#REF!</v>
      </c>
      <c r="B18" s="1">
        <v>11010020</v>
      </c>
      <c r="C18" s="1" t="s">
        <v>80</v>
      </c>
      <c r="D18" s="1">
        <v>327</v>
      </c>
      <c r="E18" t="s">
        <v>65</v>
      </c>
      <c r="F18" s="19">
        <f>IFERROR(D18*_xlfn.XLOOKUP(B18,MA_ARTICULOS!$A:$A,MA_ARTICULOS!$E:$E,0),"")</f>
        <v>9.0833333333333321</v>
      </c>
    </row>
    <row r="19" spans="1:6" x14ac:dyDescent="0.3">
      <c r="A19" s="6" t="e">
        <f>#REF!</f>
        <v>#REF!</v>
      </c>
      <c r="B19" s="1">
        <v>11010022</v>
      </c>
      <c r="C19" s="1" t="s">
        <v>81</v>
      </c>
      <c r="D19" s="1">
        <v>81</v>
      </c>
      <c r="E19" t="s">
        <v>65</v>
      </c>
      <c r="F19" s="19">
        <f>IFERROR(D19*_xlfn.XLOOKUP(B19,MA_ARTICULOS!$A:$A,MA_ARTICULOS!$E:$E,0),"")</f>
        <v>2.25</v>
      </c>
    </row>
    <row r="20" spans="1:6" x14ac:dyDescent="0.3">
      <c r="A20" s="6" t="e">
        <f>#REF!</f>
        <v>#REF!</v>
      </c>
      <c r="B20" s="1">
        <v>11010023</v>
      </c>
      <c r="C20" s="1" t="s">
        <v>82</v>
      </c>
      <c r="D20" s="1">
        <v>358</v>
      </c>
      <c r="E20" t="s">
        <v>65</v>
      </c>
      <c r="F20" s="19">
        <f>IFERROR(D20*_xlfn.XLOOKUP(B20,MA_ARTICULOS!$A:$A,MA_ARTICULOS!$E:$E,0),"")</f>
        <v>9.9444444444444446</v>
      </c>
    </row>
    <row r="21" spans="1:6" x14ac:dyDescent="0.3">
      <c r="A21" s="6" t="e">
        <f>#REF!</f>
        <v>#REF!</v>
      </c>
      <c r="B21" s="1">
        <v>11010027</v>
      </c>
      <c r="C21" s="1" t="s">
        <v>83</v>
      </c>
      <c r="D21" s="1">
        <v>79</v>
      </c>
      <c r="E21" t="s">
        <v>65</v>
      </c>
      <c r="F21" s="19">
        <f>IFERROR(D21*_xlfn.XLOOKUP(B21,MA_ARTICULOS!$A:$A,MA_ARTICULOS!$E:$E,0),"")</f>
        <v>2.1944444444444442</v>
      </c>
    </row>
    <row r="22" spans="1:6" x14ac:dyDescent="0.3">
      <c r="A22" s="6" t="e">
        <f>#REF!</f>
        <v>#REF!</v>
      </c>
      <c r="B22" s="1">
        <v>11010201</v>
      </c>
      <c r="C22" s="1" t="s">
        <v>84</v>
      </c>
      <c r="D22" s="1">
        <v>0</v>
      </c>
      <c r="E22" t="s">
        <v>65</v>
      </c>
      <c r="F22" s="19">
        <f>IFERROR(D22*_xlfn.XLOOKUP(B22,MA_ARTICULOS!$A:$A,MA_ARTICULOS!$E:$E,0),"")</f>
        <v>0</v>
      </c>
    </row>
    <row r="23" spans="1:6" x14ac:dyDescent="0.3">
      <c r="A23" s="6" t="e">
        <f>#REF!</f>
        <v>#REF!</v>
      </c>
      <c r="B23" s="1">
        <v>11010202</v>
      </c>
      <c r="C23" s="1" t="s">
        <v>85</v>
      </c>
      <c r="D23" s="1">
        <v>23</v>
      </c>
      <c r="E23" t="s">
        <v>65</v>
      </c>
      <c r="F23" s="19">
        <f>IFERROR(D23*_xlfn.XLOOKUP(B23,MA_ARTICULOS!$A:$A,MA_ARTICULOS!$E:$E,0),"")</f>
        <v>0.63888888888888884</v>
      </c>
    </row>
    <row r="24" spans="1:6" x14ac:dyDescent="0.3">
      <c r="A24" s="6" t="e">
        <f>#REF!</f>
        <v>#REF!</v>
      </c>
      <c r="B24" s="1">
        <v>11010203</v>
      </c>
      <c r="C24" s="1" t="s">
        <v>86</v>
      </c>
      <c r="D24" s="1">
        <v>63</v>
      </c>
      <c r="E24" t="s">
        <v>65</v>
      </c>
      <c r="F24" s="19">
        <f>IFERROR(D24*_xlfn.XLOOKUP(B24,MA_ARTICULOS!$A:$A,MA_ARTICULOS!$E:$E,0),"")</f>
        <v>1.75</v>
      </c>
    </row>
    <row r="25" spans="1:6" x14ac:dyDescent="0.3">
      <c r="A25" s="6" t="e">
        <f>#REF!</f>
        <v>#REF!</v>
      </c>
      <c r="B25" s="1">
        <v>11010204</v>
      </c>
      <c r="C25" s="1" t="s">
        <v>87</v>
      </c>
      <c r="D25" s="1">
        <v>35</v>
      </c>
      <c r="E25" t="s">
        <v>65</v>
      </c>
      <c r="F25" s="19">
        <f>IFERROR(D25*_xlfn.XLOOKUP(B25,MA_ARTICULOS!$A:$A,MA_ARTICULOS!$E:$E,0),"")</f>
        <v>0.97222222222222221</v>
      </c>
    </row>
    <row r="26" spans="1:6" x14ac:dyDescent="0.3">
      <c r="A26" s="6" t="e">
        <f>#REF!</f>
        <v>#REF!</v>
      </c>
      <c r="B26" s="1">
        <v>11010301</v>
      </c>
      <c r="C26" s="1" t="s">
        <v>88</v>
      </c>
      <c r="D26" s="1">
        <v>201</v>
      </c>
      <c r="E26" t="s">
        <v>65</v>
      </c>
      <c r="F26" s="19">
        <f>IFERROR(D26*_xlfn.XLOOKUP(B26,MA_ARTICULOS!$A:$A,MA_ARTICULOS!$E:$E,0),"")</f>
        <v>5.583333333333333</v>
      </c>
    </row>
    <row r="27" spans="1:6" x14ac:dyDescent="0.3">
      <c r="A27" s="6" t="e">
        <f>#REF!</f>
        <v>#REF!</v>
      </c>
      <c r="B27" s="1">
        <v>11010302</v>
      </c>
      <c r="C27" s="1" t="s">
        <v>89</v>
      </c>
      <c r="D27" s="1">
        <v>62</v>
      </c>
      <c r="E27" t="s">
        <v>65</v>
      </c>
      <c r="F27" s="19">
        <f>IFERROR(D27*_xlfn.XLOOKUP(B27,MA_ARTICULOS!$A:$A,MA_ARTICULOS!$E:$E,0),"")</f>
        <v>1.7222222222222221</v>
      </c>
    </row>
    <row r="28" spans="1:6" x14ac:dyDescent="0.3">
      <c r="A28" s="6" t="e">
        <f>#REF!</f>
        <v>#REF!</v>
      </c>
      <c r="B28" s="1">
        <v>11010303</v>
      </c>
      <c r="C28" s="1" t="s">
        <v>90</v>
      </c>
      <c r="D28" s="1">
        <v>61</v>
      </c>
      <c r="E28" t="s">
        <v>65</v>
      </c>
      <c r="F28" s="19">
        <f>IFERROR(D28*_xlfn.XLOOKUP(B28,MA_ARTICULOS!$A:$A,MA_ARTICULOS!$E:$E,0),"")</f>
        <v>1.6944444444444444</v>
      </c>
    </row>
    <row r="29" spans="1:6" x14ac:dyDescent="0.3">
      <c r="A29" s="6" t="e">
        <f>#REF!</f>
        <v>#REF!</v>
      </c>
      <c r="B29" s="1">
        <v>11010304</v>
      </c>
      <c r="C29" s="1" t="s">
        <v>91</v>
      </c>
      <c r="D29" s="1">
        <v>57</v>
      </c>
      <c r="E29" t="s">
        <v>65</v>
      </c>
      <c r="F29" s="19">
        <f>IFERROR(D29*_xlfn.XLOOKUP(B29,MA_ARTICULOS!$A:$A,MA_ARTICULOS!$E:$E,0),"")</f>
        <v>1.5833333333333333</v>
      </c>
    </row>
    <row r="30" spans="1:6" x14ac:dyDescent="0.3">
      <c r="A30" s="6" t="e">
        <f>#REF!</f>
        <v>#REF!</v>
      </c>
      <c r="B30" s="1">
        <v>11010305</v>
      </c>
      <c r="C30" s="1" t="s">
        <v>92</v>
      </c>
      <c r="D30" s="1">
        <v>72</v>
      </c>
      <c r="E30" t="s">
        <v>65</v>
      </c>
      <c r="F30" s="19">
        <f>IFERROR(D30*_xlfn.XLOOKUP(B30,MA_ARTICULOS!$A:$A,MA_ARTICULOS!$E:$E,0),"")</f>
        <v>2</v>
      </c>
    </row>
    <row r="31" spans="1:6" x14ac:dyDescent="0.3">
      <c r="A31" s="6" t="e">
        <f>#REF!</f>
        <v>#REF!</v>
      </c>
      <c r="B31" s="1">
        <v>11010306</v>
      </c>
      <c r="C31" s="1" t="s">
        <v>93</v>
      </c>
      <c r="D31" s="1">
        <v>64</v>
      </c>
      <c r="E31" t="s">
        <v>65</v>
      </c>
      <c r="F31" s="19">
        <f>IFERROR(D31*_xlfn.XLOOKUP(B31,MA_ARTICULOS!$A:$A,MA_ARTICULOS!$E:$E,0),"")</f>
        <v>1.7777777777777777</v>
      </c>
    </row>
    <row r="32" spans="1:6" x14ac:dyDescent="0.3">
      <c r="A32" s="6" t="e">
        <f>#REF!</f>
        <v>#REF!</v>
      </c>
      <c r="B32" s="1">
        <v>11010307</v>
      </c>
      <c r="C32" s="1" t="s">
        <v>94</v>
      </c>
      <c r="D32" s="1">
        <v>31</v>
      </c>
      <c r="E32" t="s">
        <v>65</v>
      </c>
      <c r="F32" s="19">
        <f>IFERROR(D32*_xlfn.XLOOKUP(B32,MA_ARTICULOS!$A:$A,MA_ARTICULOS!$E:$E,0),"")</f>
        <v>0.86111111111111105</v>
      </c>
    </row>
    <row r="33" spans="1:6" x14ac:dyDescent="0.3">
      <c r="A33" s="6" t="e">
        <f>#REF!</f>
        <v>#REF!</v>
      </c>
      <c r="B33" s="1">
        <v>11010308</v>
      </c>
      <c r="C33" s="1" t="s">
        <v>95</v>
      </c>
      <c r="D33" s="1">
        <v>11</v>
      </c>
      <c r="E33" t="s">
        <v>65</v>
      </c>
      <c r="F33" s="19">
        <f>IFERROR(D33*_xlfn.XLOOKUP(B33,MA_ARTICULOS!$A:$A,MA_ARTICULOS!$E:$E,0),"")</f>
        <v>0.30555555555555552</v>
      </c>
    </row>
    <row r="34" spans="1:6" x14ac:dyDescent="0.3">
      <c r="A34" s="6" t="e">
        <f>#REF!</f>
        <v>#REF!</v>
      </c>
      <c r="B34" s="1">
        <v>11010309</v>
      </c>
      <c r="C34" s="1" t="s">
        <v>96</v>
      </c>
      <c r="D34" s="1"/>
      <c r="E34" t="s">
        <v>65</v>
      </c>
      <c r="F34" s="19">
        <f>IFERROR(D34*_xlfn.XLOOKUP(B34,MA_ARTICULOS!$A:$A,MA_ARTICULOS!$E:$E,0),"")</f>
        <v>0</v>
      </c>
    </row>
    <row r="35" spans="1:6" x14ac:dyDescent="0.3">
      <c r="A35" s="6" t="e">
        <f>#REF!</f>
        <v>#REF!</v>
      </c>
      <c r="B35" s="1">
        <v>11020001</v>
      </c>
      <c r="C35" s="1" t="s">
        <v>97</v>
      </c>
      <c r="D35" s="1"/>
      <c r="E35" t="s">
        <v>65</v>
      </c>
      <c r="F35" s="19">
        <f>IFERROR(D35*_xlfn.XLOOKUP(B35,MA_ARTICULOS!$A:$A,MA_ARTICULOS!$E:$E,0),"")</f>
        <v>0</v>
      </c>
    </row>
    <row r="36" spans="1:6" x14ac:dyDescent="0.3">
      <c r="A36" s="6" t="e">
        <f>#REF!</f>
        <v>#REF!</v>
      </c>
      <c r="B36" s="1">
        <v>11020002</v>
      </c>
      <c r="C36" s="1" t="s">
        <v>98</v>
      </c>
      <c r="D36" s="1"/>
      <c r="E36" t="s">
        <v>65</v>
      </c>
      <c r="F36" s="19">
        <f>IFERROR(D36*_xlfn.XLOOKUP(B36,MA_ARTICULOS!$A:$A,MA_ARTICULOS!$E:$E,0),"")</f>
        <v>0</v>
      </c>
    </row>
    <row r="37" spans="1:6" x14ac:dyDescent="0.3">
      <c r="A37" s="6" t="e">
        <f>#REF!</f>
        <v>#REF!</v>
      </c>
      <c r="B37" s="1">
        <v>11020003</v>
      </c>
      <c r="C37" s="1" t="s">
        <v>99</v>
      </c>
      <c r="D37" s="1"/>
      <c r="E37" t="s">
        <v>65</v>
      </c>
      <c r="F37" s="19">
        <f>IFERROR(D37*_xlfn.XLOOKUP(B37,MA_ARTICULOS!$A:$A,MA_ARTICULOS!$E:$E,0),"")</f>
        <v>0</v>
      </c>
    </row>
    <row r="38" spans="1:6" x14ac:dyDescent="0.3">
      <c r="A38" s="6" t="e">
        <f>#REF!</f>
        <v>#REF!</v>
      </c>
      <c r="B38" s="1">
        <v>11020004</v>
      </c>
      <c r="C38" s="1" t="s">
        <v>100</v>
      </c>
      <c r="D38" s="1">
        <v>72</v>
      </c>
      <c r="E38" t="s">
        <v>65</v>
      </c>
      <c r="F38" s="19">
        <f>IFERROR(D38*_xlfn.XLOOKUP(B38,MA_ARTICULOS!$A:$A,MA_ARTICULOS!$E:$E,0),"")</f>
        <v>2</v>
      </c>
    </row>
    <row r="39" spans="1:6" x14ac:dyDescent="0.3">
      <c r="A39" s="6" t="e">
        <f>#REF!</f>
        <v>#REF!</v>
      </c>
      <c r="B39" s="1">
        <v>11020005</v>
      </c>
      <c r="C39" s="1" t="s">
        <v>101</v>
      </c>
      <c r="D39" s="1">
        <v>72</v>
      </c>
      <c r="E39" t="s">
        <v>65</v>
      </c>
      <c r="F39" s="19">
        <f>IFERROR(D39*_xlfn.XLOOKUP(B39,MA_ARTICULOS!$A:$A,MA_ARTICULOS!$E:$E,0),"")</f>
        <v>2</v>
      </c>
    </row>
    <row r="40" spans="1:6" x14ac:dyDescent="0.3">
      <c r="A40" s="6" t="e">
        <f>#REF!</f>
        <v>#REF!</v>
      </c>
      <c r="B40" s="1">
        <v>11020006</v>
      </c>
      <c r="C40" s="1" t="s">
        <v>102</v>
      </c>
      <c r="D40" s="1"/>
      <c r="E40" t="s">
        <v>65</v>
      </c>
      <c r="F40" s="19">
        <f>IFERROR(D40*_xlfn.XLOOKUP(B40,MA_ARTICULOS!$A:$A,MA_ARTICULOS!$E:$E,0),"")</f>
        <v>0</v>
      </c>
    </row>
    <row r="41" spans="1:6" x14ac:dyDescent="0.3">
      <c r="A41" s="6" t="e">
        <f>#REF!</f>
        <v>#REF!</v>
      </c>
      <c r="B41" s="1">
        <v>11020007</v>
      </c>
      <c r="C41" s="1" t="s">
        <v>103</v>
      </c>
      <c r="D41" s="1"/>
      <c r="E41" t="s">
        <v>65</v>
      </c>
      <c r="F41" s="19">
        <f>IFERROR(D41*_xlfn.XLOOKUP(B41,MA_ARTICULOS!$A:$A,MA_ARTICULOS!$E:$E,0),"")</f>
        <v>0</v>
      </c>
    </row>
    <row r="42" spans="1:6" x14ac:dyDescent="0.3">
      <c r="A42" s="6" t="e">
        <f>#REF!</f>
        <v>#REF!</v>
      </c>
      <c r="B42" s="1">
        <v>11020008</v>
      </c>
      <c r="C42" s="1" t="s">
        <v>104</v>
      </c>
      <c r="D42" s="1"/>
      <c r="E42" t="s">
        <v>65</v>
      </c>
      <c r="F42" s="19">
        <f>IFERROR(D42*_xlfn.XLOOKUP(B42,MA_ARTICULOS!$A:$A,MA_ARTICULOS!$E:$E,0),"")</f>
        <v>0</v>
      </c>
    </row>
    <row r="43" spans="1:6" x14ac:dyDescent="0.3">
      <c r="A43" s="6" t="e">
        <f>#REF!</f>
        <v>#REF!</v>
      </c>
      <c r="B43" s="1">
        <v>11020009</v>
      </c>
      <c r="C43" s="1" t="s">
        <v>105</v>
      </c>
      <c r="D43" s="1"/>
      <c r="E43" t="s">
        <v>65</v>
      </c>
      <c r="F43" s="19">
        <f>IFERROR(D43*_xlfn.XLOOKUP(B43,MA_ARTICULOS!$A:$A,MA_ARTICULOS!$E:$E,0),"")</f>
        <v>0</v>
      </c>
    </row>
    <row r="44" spans="1:6" x14ac:dyDescent="0.3">
      <c r="A44" s="6" t="e">
        <f>#REF!</f>
        <v>#REF!</v>
      </c>
      <c r="B44" s="1">
        <v>11020010</v>
      </c>
      <c r="C44" s="1" t="s">
        <v>106</v>
      </c>
      <c r="D44" s="1"/>
      <c r="E44" t="s">
        <v>65</v>
      </c>
      <c r="F44" s="19">
        <f>IFERROR(D44*_xlfn.XLOOKUP(B44,MA_ARTICULOS!$A:$A,MA_ARTICULOS!$E:$E,0),"")</f>
        <v>0</v>
      </c>
    </row>
    <row r="45" spans="1:6" x14ac:dyDescent="0.3">
      <c r="A45" s="6" t="e">
        <f>#REF!</f>
        <v>#REF!</v>
      </c>
      <c r="B45" s="1">
        <v>11020014</v>
      </c>
      <c r="C45" s="1" t="s">
        <v>107</v>
      </c>
      <c r="D45" s="1">
        <v>3</v>
      </c>
      <c r="E45" t="s">
        <v>65</v>
      </c>
      <c r="F45" s="19">
        <f>IFERROR(D45*_xlfn.XLOOKUP(B45,MA_ARTICULOS!$A:$A,MA_ARTICULOS!$E:$E,0),"")</f>
        <v>8.3333333333333329E-2</v>
      </c>
    </row>
    <row r="46" spans="1:6" x14ac:dyDescent="0.3">
      <c r="A46" s="6" t="e">
        <f>#REF!</f>
        <v>#REF!</v>
      </c>
      <c r="B46" s="1">
        <v>11020015</v>
      </c>
      <c r="C46" s="1" t="s">
        <v>108</v>
      </c>
      <c r="D46" s="1"/>
      <c r="E46" t="s">
        <v>65</v>
      </c>
      <c r="F46" s="19">
        <f>IFERROR(D46*_xlfn.XLOOKUP(B46,MA_ARTICULOS!$A:$A,MA_ARTICULOS!$E:$E,0),"")</f>
        <v>0</v>
      </c>
    </row>
    <row r="47" spans="1:6" x14ac:dyDescent="0.3">
      <c r="A47" s="6" t="e">
        <f>#REF!</f>
        <v>#REF!</v>
      </c>
      <c r="B47" s="1">
        <v>11020016</v>
      </c>
      <c r="C47" s="1" t="s">
        <v>109</v>
      </c>
      <c r="D47" s="1"/>
      <c r="E47" t="s">
        <v>65</v>
      </c>
      <c r="F47" s="19">
        <f>IFERROR(D47*_xlfn.XLOOKUP(B47,MA_ARTICULOS!$A:$A,MA_ARTICULOS!$E:$E,0),"")</f>
        <v>0</v>
      </c>
    </row>
    <row r="48" spans="1:6" x14ac:dyDescent="0.3">
      <c r="A48" s="6" t="e">
        <f>#REF!</f>
        <v>#REF!</v>
      </c>
      <c r="B48" s="1">
        <v>12040001</v>
      </c>
      <c r="C48" s="1" t="s">
        <v>110</v>
      </c>
      <c r="D48" s="1"/>
      <c r="E48" t="s">
        <v>65</v>
      </c>
      <c r="F48" s="19">
        <f>IFERROR(D48*_xlfn.XLOOKUP(B48,MA_ARTICULOS!$A:$A,MA_ARTICULOS!$E:$E,0),"")</f>
        <v>0</v>
      </c>
    </row>
    <row r="49" spans="1:6" x14ac:dyDescent="0.3">
      <c r="A49" s="6" t="e">
        <f>#REF!</f>
        <v>#REF!</v>
      </c>
      <c r="B49" s="1">
        <v>12040002</v>
      </c>
      <c r="C49" s="1" t="s">
        <v>111</v>
      </c>
      <c r="D49" s="1">
        <v>0</v>
      </c>
      <c r="E49" t="s">
        <v>65</v>
      </c>
      <c r="F49" s="19">
        <f>IFERROR(D49*_xlfn.XLOOKUP(B49,MA_ARTICULOS!$A:$A,MA_ARTICULOS!$E:$E,0),"")</f>
        <v>0</v>
      </c>
    </row>
    <row r="50" spans="1:6" x14ac:dyDescent="0.3">
      <c r="A50" s="6" t="e">
        <f>#REF!</f>
        <v>#REF!</v>
      </c>
      <c r="B50" s="1">
        <v>12080001</v>
      </c>
      <c r="C50" s="1" t="s">
        <v>112</v>
      </c>
      <c r="D50" s="1">
        <v>112</v>
      </c>
      <c r="E50" t="s">
        <v>65</v>
      </c>
      <c r="F50" s="19">
        <f>IFERROR(D50*_xlfn.XLOOKUP(B50,MA_ARTICULOS!$A:$A,MA_ARTICULOS!$E:$E,0),"")</f>
        <v>3.1111111111111107</v>
      </c>
    </row>
    <row r="51" spans="1:6" x14ac:dyDescent="0.3">
      <c r="A51" s="6" t="e">
        <f>#REF!</f>
        <v>#REF!</v>
      </c>
      <c r="B51" s="1">
        <v>12080002</v>
      </c>
      <c r="C51" s="1" t="s">
        <v>113</v>
      </c>
      <c r="D51" s="1">
        <v>108</v>
      </c>
      <c r="E51" t="s">
        <v>65</v>
      </c>
      <c r="F51" s="19">
        <f>IFERROR(D51*_xlfn.XLOOKUP(B51,MA_ARTICULOS!$A:$A,MA_ARTICULOS!$E:$E,0),"")</f>
        <v>3</v>
      </c>
    </row>
    <row r="52" spans="1:6" x14ac:dyDescent="0.3">
      <c r="A52" s="6" t="e">
        <f>#REF!</f>
        <v>#REF!</v>
      </c>
      <c r="B52" s="1">
        <v>12080003</v>
      </c>
      <c r="C52" s="1" t="s">
        <v>114</v>
      </c>
      <c r="D52" s="1">
        <v>108</v>
      </c>
      <c r="E52" t="s">
        <v>65</v>
      </c>
      <c r="F52" s="19">
        <f>IFERROR(D52*_xlfn.XLOOKUP(B52,MA_ARTICULOS!$A:$A,MA_ARTICULOS!$E:$E,0),"")</f>
        <v>3</v>
      </c>
    </row>
    <row r="53" spans="1:6" x14ac:dyDescent="0.3">
      <c r="A53" s="6" t="e">
        <f>#REF!</f>
        <v>#REF!</v>
      </c>
      <c r="B53" s="1">
        <v>13010007</v>
      </c>
      <c r="C53" s="1" t="s">
        <v>115</v>
      </c>
      <c r="D53" s="1">
        <v>742</v>
      </c>
      <c r="E53" t="s">
        <v>65</v>
      </c>
      <c r="F53" s="19">
        <f>IFERROR(D53*_xlfn.XLOOKUP(B53,MA_ARTICULOS!$A:$A,MA_ARTICULOS!$E:$E,0),"")</f>
        <v>9.1604938271604937</v>
      </c>
    </row>
    <row r="54" spans="1:6" x14ac:dyDescent="0.3">
      <c r="A54" s="6" t="e">
        <f>#REF!</f>
        <v>#REF!</v>
      </c>
      <c r="B54" s="1">
        <v>13010008</v>
      </c>
      <c r="C54" s="1" t="s">
        <v>116</v>
      </c>
      <c r="D54" s="1">
        <v>358</v>
      </c>
      <c r="E54" t="s">
        <v>65</v>
      </c>
      <c r="F54" s="19">
        <f>IFERROR(D54*_xlfn.XLOOKUP(B54,MA_ARTICULOS!$A:$A,MA_ARTICULOS!$E:$E,0),"")</f>
        <v>4.4197530864197532</v>
      </c>
    </row>
    <row r="55" spans="1:6" x14ac:dyDescent="0.3">
      <c r="A55" s="6" t="e">
        <f>#REF!</f>
        <v>#REF!</v>
      </c>
      <c r="B55" s="1">
        <v>13019001</v>
      </c>
      <c r="C55" s="1" t="s">
        <v>117</v>
      </c>
      <c r="D55" s="1">
        <v>572</v>
      </c>
      <c r="E55" t="s">
        <v>65</v>
      </c>
      <c r="F55" s="19">
        <f>IFERROR(D55*_xlfn.XLOOKUP(B55,MA_ARTICULOS!$A:$A,MA_ARTICULOS!$E:$E,0),"")</f>
        <v>7.0617283950617278</v>
      </c>
    </row>
    <row r="56" spans="1:6" x14ac:dyDescent="0.3">
      <c r="A56" s="6" t="e">
        <f>#REF!</f>
        <v>#REF!</v>
      </c>
      <c r="B56" s="1">
        <v>13019002</v>
      </c>
      <c r="C56" s="1" t="s">
        <v>118</v>
      </c>
      <c r="D56" s="1">
        <v>95</v>
      </c>
      <c r="E56" t="s">
        <v>65</v>
      </c>
      <c r="F56" s="19">
        <f>IFERROR(D56*_xlfn.XLOOKUP(B56,MA_ARTICULOS!$A:$A,MA_ARTICULOS!$E:$E,0),"")</f>
        <v>1.1728395061728394</v>
      </c>
    </row>
    <row r="57" spans="1:6" x14ac:dyDescent="0.3">
      <c r="A57" s="6" t="e">
        <f>#REF!</f>
        <v>#REF!</v>
      </c>
      <c r="B57" s="1">
        <v>13019003</v>
      </c>
      <c r="C57" s="1" t="s">
        <v>119</v>
      </c>
      <c r="D57" s="1">
        <v>443</v>
      </c>
      <c r="E57" t="s">
        <v>65</v>
      </c>
      <c r="F57" s="19">
        <f>IFERROR(D57*_xlfn.XLOOKUP(B57,MA_ARTICULOS!$A:$A,MA_ARTICULOS!$E:$E,0),"")</f>
        <v>5.4691358024691352</v>
      </c>
    </row>
    <row r="58" spans="1:6" x14ac:dyDescent="0.3">
      <c r="A58" s="6" t="e">
        <f>#REF!</f>
        <v>#REF!</v>
      </c>
      <c r="B58" s="1">
        <v>13019004</v>
      </c>
      <c r="C58" s="1" t="s">
        <v>120</v>
      </c>
      <c r="D58" s="1">
        <v>549</v>
      </c>
      <c r="E58" t="s">
        <v>65</v>
      </c>
      <c r="F58" s="19">
        <f>IFERROR(D58*_xlfn.XLOOKUP(B58,MA_ARTICULOS!$A:$A,MA_ARTICULOS!$E:$E,0),"")</f>
        <v>6.7777777777777777</v>
      </c>
    </row>
    <row r="59" spans="1:6" x14ac:dyDescent="0.3">
      <c r="A59" s="6" t="e">
        <f>#REF!</f>
        <v>#REF!</v>
      </c>
      <c r="B59" s="1">
        <v>13019005</v>
      </c>
      <c r="C59" s="1" t="s">
        <v>121</v>
      </c>
      <c r="D59" s="1">
        <v>305</v>
      </c>
      <c r="E59" t="s">
        <v>65</v>
      </c>
      <c r="F59" s="19">
        <f>IFERROR(D59*_xlfn.XLOOKUP(B59,MA_ARTICULOS!$A:$A,MA_ARTICULOS!$E:$E,0),"")</f>
        <v>3.7654320987654319</v>
      </c>
    </row>
    <row r="60" spans="1:6" x14ac:dyDescent="0.3">
      <c r="A60" s="6" t="e">
        <f>#REF!</f>
        <v>#REF!</v>
      </c>
      <c r="B60" s="1">
        <v>13019007</v>
      </c>
      <c r="C60" s="1" t="s">
        <v>122</v>
      </c>
      <c r="D60" s="1">
        <v>222</v>
      </c>
      <c r="E60" t="s">
        <v>65</v>
      </c>
      <c r="F60" s="19">
        <f>IFERROR(D60*_xlfn.XLOOKUP(B60,MA_ARTICULOS!$A:$A,MA_ARTICULOS!$E:$E,0),"")</f>
        <v>2.7407407407407405</v>
      </c>
    </row>
    <row r="61" spans="1:6" x14ac:dyDescent="0.3">
      <c r="A61" s="6" t="e">
        <f>#REF!</f>
        <v>#REF!</v>
      </c>
      <c r="B61" s="1">
        <v>13019008</v>
      </c>
      <c r="C61" s="1" t="s">
        <v>123</v>
      </c>
      <c r="D61" s="1">
        <v>139</v>
      </c>
      <c r="E61" t="s">
        <v>65</v>
      </c>
      <c r="F61" s="19">
        <f>IFERROR(D61*_xlfn.XLOOKUP(B61,MA_ARTICULOS!$A:$A,MA_ARTICULOS!$E:$E,0),"")</f>
        <v>1.7160493827160492</v>
      </c>
    </row>
    <row r="62" spans="1:6" x14ac:dyDescent="0.3">
      <c r="A62" s="6" t="e">
        <f>#REF!</f>
        <v>#REF!</v>
      </c>
      <c r="B62" s="1">
        <v>13020004</v>
      </c>
      <c r="C62" s="1" t="s">
        <v>124</v>
      </c>
      <c r="D62" s="1">
        <v>687</v>
      </c>
      <c r="E62" t="s">
        <v>65</v>
      </c>
      <c r="F62" s="19">
        <f>IFERROR(D62*_xlfn.XLOOKUP(B62,MA_ARTICULOS!$A:$A,MA_ARTICULOS!$E:$E,0),"")</f>
        <v>8.481481481481481</v>
      </c>
    </row>
    <row r="63" spans="1:6" x14ac:dyDescent="0.3">
      <c r="A63" s="6" t="e">
        <f>#REF!</f>
        <v>#REF!</v>
      </c>
      <c r="B63" s="1">
        <v>13020005</v>
      </c>
      <c r="C63" s="1" t="s">
        <v>125</v>
      </c>
      <c r="D63" s="1">
        <v>1285</v>
      </c>
      <c r="E63" t="s">
        <v>65</v>
      </c>
      <c r="F63" s="19">
        <f>IFERROR(D63*_xlfn.XLOOKUP(B63,MA_ARTICULOS!$A:$A,MA_ARTICULOS!$E:$E,0),"")</f>
        <v>15.864197530864196</v>
      </c>
    </row>
    <row r="64" spans="1:6" x14ac:dyDescent="0.3">
      <c r="A64" s="6" t="e">
        <f>#REF!</f>
        <v>#REF!</v>
      </c>
      <c r="B64" s="1">
        <v>13040001</v>
      </c>
      <c r="C64" s="1" t="s">
        <v>126</v>
      </c>
      <c r="D64" s="1">
        <v>50</v>
      </c>
      <c r="E64" t="s">
        <v>65</v>
      </c>
      <c r="F64" s="19">
        <f>IFERROR(D64*_xlfn.XLOOKUP(B64,MA_ARTICULOS!$A:$A,MA_ARTICULOS!$E:$E,0),"")</f>
        <v>0.61728395061728392</v>
      </c>
    </row>
    <row r="65" spans="1:6" x14ac:dyDescent="0.3">
      <c r="A65" s="6" t="e">
        <f>#REF!</f>
        <v>#REF!</v>
      </c>
      <c r="B65" s="1">
        <v>13040002</v>
      </c>
      <c r="C65" s="1" t="s">
        <v>127</v>
      </c>
      <c r="D65" s="1">
        <v>54</v>
      </c>
      <c r="E65" t="s">
        <v>65</v>
      </c>
      <c r="F65" s="19">
        <f>IFERROR(D65*_xlfn.XLOOKUP(B65,MA_ARTICULOS!$A:$A,MA_ARTICULOS!$E:$E,0),"")</f>
        <v>0.66666666666666663</v>
      </c>
    </row>
    <row r="66" spans="1:6" x14ac:dyDescent="0.3">
      <c r="A66" s="6" t="e">
        <f>#REF!</f>
        <v>#REF!</v>
      </c>
      <c r="B66" s="1">
        <v>13040003</v>
      </c>
      <c r="C66" s="1" t="s">
        <v>128</v>
      </c>
      <c r="D66" s="1">
        <v>34</v>
      </c>
      <c r="E66" t="s">
        <v>65</v>
      </c>
      <c r="F66" s="19">
        <f>IFERROR(D66*_xlfn.XLOOKUP(B66,MA_ARTICULOS!$A:$A,MA_ARTICULOS!$E:$E,0),"")</f>
        <v>0.41975308641975306</v>
      </c>
    </row>
    <row r="67" spans="1:6" x14ac:dyDescent="0.3">
      <c r="A67" s="6" t="e">
        <f>#REF!</f>
        <v>#REF!</v>
      </c>
      <c r="B67" s="1">
        <v>13040004</v>
      </c>
      <c r="C67" s="1" t="s">
        <v>129</v>
      </c>
      <c r="D67" s="1"/>
      <c r="E67" t="s">
        <v>65</v>
      </c>
      <c r="F67" s="19">
        <f>IFERROR(D67*_xlfn.XLOOKUP(B67,MA_ARTICULOS!$A:$A,MA_ARTICULOS!$E:$E,0),"")</f>
        <v>0</v>
      </c>
    </row>
    <row r="68" spans="1:6" x14ac:dyDescent="0.3">
      <c r="A68" s="6" t="e">
        <f>#REF!</f>
        <v>#REF!</v>
      </c>
      <c r="B68" s="1">
        <v>13040005</v>
      </c>
      <c r="C68" s="1" t="s">
        <v>130</v>
      </c>
      <c r="D68" s="1"/>
      <c r="E68" t="s">
        <v>65</v>
      </c>
      <c r="F68" s="19">
        <f>IFERROR(D68*_xlfn.XLOOKUP(B68,MA_ARTICULOS!$A:$A,MA_ARTICULOS!$E:$E,0),"")</f>
        <v>0</v>
      </c>
    </row>
    <row r="69" spans="1:6" x14ac:dyDescent="0.3">
      <c r="A69" s="6" t="e">
        <f>#REF!</f>
        <v>#REF!</v>
      </c>
      <c r="B69" s="1">
        <v>13040006</v>
      </c>
      <c r="C69" s="1" t="s">
        <v>131</v>
      </c>
      <c r="D69" s="1"/>
      <c r="E69" t="s">
        <v>65</v>
      </c>
      <c r="F69" s="19">
        <f>IFERROR(D69*_xlfn.XLOOKUP(B69,MA_ARTICULOS!$A:$A,MA_ARTICULOS!$E:$E,0),"")</f>
        <v>0</v>
      </c>
    </row>
    <row r="70" spans="1:6" x14ac:dyDescent="0.3">
      <c r="A70" s="6" t="e">
        <f>#REF!</f>
        <v>#REF!</v>
      </c>
      <c r="B70" s="1">
        <v>13040007</v>
      </c>
      <c r="C70" s="1" t="s">
        <v>132</v>
      </c>
      <c r="D70" s="1"/>
      <c r="E70" t="s">
        <v>65</v>
      </c>
      <c r="F70" s="19">
        <f>IFERROR(D70*_xlfn.XLOOKUP(B70,MA_ARTICULOS!$A:$A,MA_ARTICULOS!$E:$E,0),"")</f>
        <v>0</v>
      </c>
    </row>
    <row r="71" spans="1:6" x14ac:dyDescent="0.3">
      <c r="A71" s="6" t="e">
        <f>#REF!</f>
        <v>#REF!</v>
      </c>
      <c r="B71" s="1">
        <v>13040008</v>
      </c>
      <c r="C71" s="1" t="s">
        <v>133</v>
      </c>
      <c r="D71" s="1">
        <v>30</v>
      </c>
      <c r="E71" t="s">
        <v>65</v>
      </c>
      <c r="F71" s="19">
        <f>IFERROR(D71*_xlfn.XLOOKUP(B71,MA_ARTICULOS!$A:$A,MA_ARTICULOS!$E:$E,0),"")</f>
        <v>0.37037037037037035</v>
      </c>
    </row>
    <row r="72" spans="1:6" x14ac:dyDescent="0.3">
      <c r="A72" s="6" t="e">
        <f>#REF!</f>
        <v>#REF!</v>
      </c>
      <c r="B72" s="1">
        <v>13040009</v>
      </c>
      <c r="C72" s="1" t="s">
        <v>134</v>
      </c>
      <c r="D72" s="1"/>
      <c r="E72" t="s">
        <v>65</v>
      </c>
      <c r="F72" s="19">
        <f>IFERROR(D72*_xlfn.XLOOKUP(B72,MA_ARTICULOS!$A:$A,MA_ARTICULOS!$E:$E,0),"")</f>
        <v>0</v>
      </c>
    </row>
    <row r="73" spans="1:6" x14ac:dyDescent="0.3">
      <c r="A73" s="6" t="e">
        <f>#REF!</f>
        <v>#REF!</v>
      </c>
      <c r="B73" s="1">
        <v>13040010</v>
      </c>
      <c r="C73" s="1" t="s">
        <v>135</v>
      </c>
      <c r="D73" s="1"/>
      <c r="E73" t="s">
        <v>65</v>
      </c>
      <c r="F73" s="19">
        <f>IFERROR(D73*_xlfn.XLOOKUP(B73,MA_ARTICULOS!$A:$A,MA_ARTICULOS!$E:$E,0),"")</f>
        <v>0</v>
      </c>
    </row>
    <row r="74" spans="1:6" x14ac:dyDescent="0.3">
      <c r="A74" s="6" t="e">
        <f>#REF!</f>
        <v>#REF!</v>
      </c>
      <c r="B74" s="1">
        <v>13040011</v>
      </c>
      <c r="C74" s="1" t="s">
        <v>136</v>
      </c>
      <c r="D74" s="1"/>
      <c r="E74" t="s">
        <v>65</v>
      </c>
      <c r="F74" s="19">
        <f>IFERROR(D74*_xlfn.XLOOKUP(B74,MA_ARTICULOS!$A:$A,MA_ARTICULOS!$E:$E,0),"")</f>
        <v>0</v>
      </c>
    </row>
    <row r="75" spans="1:6" x14ac:dyDescent="0.3">
      <c r="A75" s="6" t="e">
        <f>#REF!</f>
        <v>#REF!</v>
      </c>
      <c r="B75" s="1">
        <v>13040012</v>
      </c>
      <c r="C75" s="1" t="s">
        <v>137</v>
      </c>
      <c r="D75" s="1">
        <v>1</v>
      </c>
      <c r="E75" t="s">
        <v>65</v>
      </c>
      <c r="F75" s="19">
        <f>IFERROR(D75*_xlfn.XLOOKUP(B75,MA_ARTICULOS!$A:$A,MA_ARTICULOS!$E:$E,0),"")</f>
        <v>1.2345679012345678E-2</v>
      </c>
    </row>
    <row r="76" spans="1:6" x14ac:dyDescent="0.3">
      <c r="A76" s="6" t="e">
        <f>#REF!</f>
        <v>#REF!</v>
      </c>
      <c r="B76" s="1">
        <v>13040013</v>
      </c>
      <c r="C76" s="1" t="s">
        <v>138</v>
      </c>
      <c r="D76" s="1">
        <v>37</v>
      </c>
      <c r="E76" t="s">
        <v>65</v>
      </c>
      <c r="F76" s="19">
        <f>IFERROR(D76*_xlfn.XLOOKUP(B76,MA_ARTICULOS!$A:$A,MA_ARTICULOS!$E:$E,0),"")</f>
        <v>0.4567901234567901</v>
      </c>
    </row>
    <row r="77" spans="1:6" x14ac:dyDescent="0.3">
      <c r="A77" s="6" t="e">
        <f>#REF!</f>
        <v>#REF!</v>
      </c>
      <c r="B77" s="1">
        <v>13040014</v>
      </c>
      <c r="C77" s="1" t="s">
        <v>139</v>
      </c>
      <c r="D77" s="1">
        <v>1</v>
      </c>
      <c r="E77" t="s">
        <v>65</v>
      </c>
      <c r="F77" s="19">
        <f>IFERROR(D77*_xlfn.XLOOKUP(B77,MA_ARTICULOS!$A:$A,MA_ARTICULOS!$E:$E,0),"")</f>
        <v>1.2345679012345678E-2</v>
      </c>
    </row>
    <row r="78" spans="1:6" x14ac:dyDescent="0.3">
      <c r="A78" s="6" t="e">
        <f>#REF!</f>
        <v>#REF!</v>
      </c>
      <c r="B78" s="1">
        <v>13040015</v>
      </c>
      <c r="C78" s="1" t="s">
        <v>140</v>
      </c>
      <c r="D78" s="1"/>
      <c r="E78" t="s">
        <v>65</v>
      </c>
      <c r="F78" s="19">
        <f>IFERROR(D78*_xlfn.XLOOKUP(B78,MA_ARTICULOS!$A:$A,MA_ARTICULOS!$E:$E,0),"")</f>
        <v>0</v>
      </c>
    </row>
    <row r="79" spans="1:6" x14ac:dyDescent="0.3">
      <c r="A79" s="6" t="e">
        <f>#REF!</f>
        <v>#REF!</v>
      </c>
      <c r="B79" s="1">
        <v>13040016</v>
      </c>
      <c r="C79" s="1" t="s">
        <v>141</v>
      </c>
      <c r="D79" s="1">
        <v>2</v>
      </c>
      <c r="E79" t="s">
        <v>65</v>
      </c>
      <c r="F79" s="19">
        <f>IFERROR(D79*_xlfn.XLOOKUP(B79,MA_ARTICULOS!$A:$A,MA_ARTICULOS!$E:$E,0),"")</f>
        <v>2.4691358024691357E-2</v>
      </c>
    </row>
    <row r="80" spans="1:6" x14ac:dyDescent="0.3">
      <c r="A80" s="6" t="e">
        <f>#REF!</f>
        <v>#REF!</v>
      </c>
      <c r="B80" s="1">
        <v>13040017</v>
      </c>
      <c r="C80" s="1" t="s">
        <v>142</v>
      </c>
      <c r="D80" s="1"/>
      <c r="E80" t="s">
        <v>65</v>
      </c>
      <c r="F80" s="19">
        <f>IFERROR(D80*_xlfn.XLOOKUP(B80,MA_ARTICULOS!$A:$A,MA_ARTICULOS!$E:$E,0),"")</f>
        <v>0</v>
      </c>
    </row>
    <row r="81" spans="1:6" x14ac:dyDescent="0.3">
      <c r="A81" s="6" t="e">
        <f>#REF!</f>
        <v>#REF!</v>
      </c>
      <c r="B81" s="1">
        <v>13040018</v>
      </c>
      <c r="C81" s="1" t="s">
        <v>143</v>
      </c>
      <c r="D81" s="1"/>
      <c r="E81" t="s">
        <v>65</v>
      </c>
      <c r="F81" s="19">
        <f>IFERROR(D81*_xlfn.XLOOKUP(B81,MA_ARTICULOS!$A:$A,MA_ARTICULOS!$E:$E,0),"")</f>
        <v>0</v>
      </c>
    </row>
    <row r="82" spans="1:6" x14ac:dyDescent="0.3">
      <c r="A82" s="6" t="e">
        <f>#REF!</f>
        <v>#REF!</v>
      </c>
      <c r="B82" s="1">
        <v>13040101</v>
      </c>
      <c r="C82" s="1" t="s">
        <v>144</v>
      </c>
      <c r="D82" s="1"/>
      <c r="E82" t="s">
        <v>65</v>
      </c>
      <c r="F82" s="19">
        <f>IFERROR(D82*_xlfn.XLOOKUP(B82,MA_ARTICULOS!$A:$A,MA_ARTICULOS!$E:$E,0),"")</f>
        <v>0</v>
      </c>
    </row>
    <row r="83" spans="1:6" x14ac:dyDescent="0.3">
      <c r="A83" s="6" t="e">
        <f>#REF!</f>
        <v>#REF!</v>
      </c>
      <c r="B83" s="1">
        <v>13040102</v>
      </c>
      <c r="C83" s="1" t="s">
        <v>145</v>
      </c>
      <c r="D83" s="1"/>
      <c r="E83" t="s">
        <v>65</v>
      </c>
      <c r="F83" s="19">
        <f>IFERROR(D83*_xlfn.XLOOKUP(B83,MA_ARTICULOS!$A:$A,MA_ARTICULOS!$E:$E,0),"")</f>
        <v>0</v>
      </c>
    </row>
    <row r="84" spans="1:6" x14ac:dyDescent="0.3">
      <c r="A84" s="6" t="e">
        <f>#REF!</f>
        <v>#REF!</v>
      </c>
      <c r="B84" s="1">
        <v>13040103</v>
      </c>
      <c r="C84" s="1" t="s">
        <v>146</v>
      </c>
      <c r="D84" s="1"/>
      <c r="E84" t="s">
        <v>65</v>
      </c>
      <c r="F84" s="19">
        <f>IFERROR(D84*_xlfn.XLOOKUP(B84,MA_ARTICULOS!$A:$A,MA_ARTICULOS!$E:$E,0),"")</f>
        <v>0</v>
      </c>
    </row>
    <row r="85" spans="1:6" x14ac:dyDescent="0.3">
      <c r="A85" s="6" t="e">
        <f>#REF!</f>
        <v>#REF!</v>
      </c>
      <c r="B85" s="1">
        <v>13050001</v>
      </c>
      <c r="C85" s="1" t="s">
        <v>147</v>
      </c>
      <c r="D85" s="1"/>
      <c r="E85" t="s">
        <v>65</v>
      </c>
      <c r="F85" s="19">
        <f>IFERROR(D85*_xlfn.XLOOKUP(B85,MA_ARTICULOS!$A:$A,MA_ARTICULOS!$E:$E,0),"")</f>
        <v>0</v>
      </c>
    </row>
    <row r="86" spans="1:6" x14ac:dyDescent="0.3">
      <c r="A86" s="6" t="e">
        <f>#REF!</f>
        <v>#REF!</v>
      </c>
      <c r="B86" s="1">
        <v>13050002</v>
      </c>
      <c r="C86" s="1" t="s">
        <v>148</v>
      </c>
      <c r="D86" s="1">
        <v>247</v>
      </c>
      <c r="E86" t="s">
        <v>65</v>
      </c>
      <c r="F86" s="19">
        <f>IFERROR(D86*_xlfn.XLOOKUP(B86,MA_ARTICULOS!$A:$A,MA_ARTICULOS!$E:$E,0),"")</f>
        <v>3.0493827160493825</v>
      </c>
    </row>
    <row r="87" spans="1:6" x14ac:dyDescent="0.3">
      <c r="A87" s="6" t="e">
        <f>#REF!</f>
        <v>#REF!</v>
      </c>
      <c r="B87" s="1">
        <v>13050003</v>
      </c>
      <c r="C87" s="1" t="s">
        <v>149</v>
      </c>
      <c r="D87" s="1">
        <v>201</v>
      </c>
      <c r="E87" t="s">
        <v>65</v>
      </c>
      <c r="F87" s="19">
        <f>IFERROR(D87*_xlfn.XLOOKUP(B87,MA_ARTICULOS!$A:$A,MA_ARTICULOS!$E:$E,0),"")</f>
        <v>2.4814814814814814</v>
      </c>
    </row>
    <row r="88" spans="1:6" x14ac:dyDescent="0.3">
      <c r="A88" s="6" t="e">
        <f>#REF!</f>
        <v>#REF!</v>
      </c>
      <c r="B88" s="1">
        <v>13050004</v>
      </c>
      <c r="C88" s="1" t="s">
        <v>150</v>
      </c>
      <c r="D88" s="1">
        <v>124</v>
      </c>
      <c r="E88" t="s">
        <v>65</v>
      </c>
      <c r="F88" s="19">
        <f>IFERROR(D88*_xlfn.XLOOKUP(B88,MA_ARTICULOS!$A:$A,MA_ARTICULOS!$E:$E,0),"")</f>
        <v>1.5308641975308641</v>
      </c>
    </row>
    <row r="89" spans="1:6" x14ac:dyDescent="0.3">
      <c r="A89" s="6" t="e">
        <f>#REF!</f>
        <v>#REF!</v>
      </c>
      <c r="B89" s="1">
        <v>13050005</v>
      </c>
      <c r="C89" s="1" t="s">
        <v>151</v>
      </c>
      <c r="D89" s="1"/>
      <c r="E89" t="s">
        <v>65</v>
      </c>
      <c r="F89" s="19">
        <f>IFERROR(D89*_xlfn.XLOOKUP(B89,MA_ARTICULOS!$A:$A,MA_ARTICULOS!$E:$E,0),"")</f>
        <v>0</v>
      </c>
    </row>
    <row r="90" spans="1:6" x14ac:dyDescent="0.3">
      <c r="A90" s="6" t="e">
        <f>#REF!</f>
        <v>#REF!</v>
      </c>
      <c r="B90" s="1">
        <v>13050006</v>
      </c>
      <c r="C90" s="1" t="s">
        <v>152</v>
      </c>
      <c r="D90" s="1"/>
      <c r="E90" t="s">
        <v>65</v>
      </c>
      <c r="F90" s="19">
        <f>IFERROR(D90*_xlfn.XLOOKUP(B90,MA_ARTICULOS!$A:$A,MA_ARTICULOS!$E:$E,0),"")</f>
        <v>0</v>
      </c>
    </row>
    <row r="91" spans="1:6" x14ac:dyDescent="0.3">
      <c r="A91" s="6" t="e">
        <f>#REF!</f>
        <v>#REF!</v>
      </c>
      <c r="B91" s="1">
        <v>13050007</v>
      </c>
      <c r="C91" s="1" t="s">
        <v>153</v>
      </c>
      <c r="D91" s="1">
        <v>292</v>
      </c>
      <c r="E91" t="s">
        <v>65</v>
      </c>
      <c r="F91" s="19">
        <f>IFERROR(D91*_xlfn.XLOOKUP(B91,MA_ARTICULOS!$A:$A,MA_ARTICULOS!$E:$E,0),"")</f>
        <v>3.6049382716049383</v>
      </c>
    </row>
    <row r="92" spans="1:6" x14ac:dyDescent="0.3">
      <c r="A92" s="6" t="e">
        <f>#REF!</f>
        <v>#REF!</v>
      </c>
      <c r="B92" s="1">
        <v>13050008</v>
      </c>
      <c r="C92" s="1" t="s">
        <v>154</v>
      </c>
      <c r="D92" s="1">
        <v>71</v>
      </c>
      <c r="E92" t="s">
        <v>65</v>
      </c>
      <c r="F92" s="19">
        <f>IFERROR(D92*_xlfn.XLOOKUP(B92,MA_ARTICULOS!$A:$A,MA_ARTICULOS!$E:$E,0),"")</f>
        <v>0.87654320987654311</v>
      </c>
    </row>
    <row r="93" spans="1:6" x14ac:dyDescent="0.3">
      <c r="A93" s="6" t="e">
        <f>#REF!</f>
        <v>#REF!</v>
      </c>
      <c r="B93" s="1">
        <v>13089001</v>
      </c>
      <c r="C93" s="1" t="s">
        <v>155</v>
      </c>
      <c r="D93" s="1">
        <v>111</v>
      </c>
      <c r="E93" t="s">
        <v>65</v>
      </c>
      <c r="F93" s="19">
        <f>IFERROR(D93*_xlfn.XLOOKUP(B93,MA_ARTICULOS!$A:$A,MA_ARTICULOS!$E:$E,0),"")</f>
        <v>1.3703703703703702</v>
      </c>
    </row>
    <row r="94" spans="1:6" x14ac:dyDescent="0.3">
      <c r="A94" s="6" t="e">
        <f>#REF!</f>
        <v>#REF!</v>
      </c>
      <c r="B94" s="1">
        <v>13089002</v>
      </c>
      <c r="C94" s="1" t="s">
        <v>156</v>
      </c>
      <c r="D94" s="1">
        <v>247</v>
      </c>
      <c r="E94" t="s">
        <v>65</v>
      </c>
      <c r="F94" s="19">
        <f>IFERROR(D94*_xlfn.XLOOKUP(B94,MA_ARTICULOS!$A:$A,MA_ARTICULOS!$E:$E,0),"")</f>
        <v>3.0493827160493825</v>
      </c>
    </row>
    <row r="95" spans="1:6" x14ac:dyDescent="0.3">
      <c r="A95" s="6" t="e">
        <f>#REF!</f>
        <v>#REF!</v>
      </c>
      <c r="B95" s="1">
        <v>13089003</v>
      </c>
      <c r="C95" s="1" t="s">
        <v>157</v>
      </c>
      <c r="D95" s="1">
        <v>81</v>
      </c>
      <c r="E95" t="s">
        <v>65</v>
      </c>
      <c r="F95" s="19">
        <f>IFERROR(D95*_xlfn.XLOOKUP(B95,MA_ARTICULOS!$A:$A,MA_ARTICULOS!$E:$E,0),"")</f>
        <v>1</v>
      </c>
    </row>
    <row r="96" spans="1:6" x14ac:dyDescent="0.3">
      <c r="A96" s="6" t="e">
        <f>#REF!</f>
        <v>#REF!</v>
      </c>
      <c r="B96" s="1">
        <v>13089004</v>
      </c>
      <c r="C96" s="1" t="s">
        <v>158</v>
      </c>
      <c r="D96" s="1">
        <v>241</v>
      </c>
      <c r="E96" t="s">
        <v>65</v>
      </c>
      <c r="F96" s="19">
        <f>IFERROR(D96*_xlfn.XLOOKUP(B96,MA_ARTICULOS!$A:$A,MA_ARTICULOS!$E:$E,0),"")</f>
        <v>2.9753086419753085</v>
      </c>
    </row>
    <row r="97" spans="1:6" x14ac:dyDescent="0.3">
      <c r="A97" s="6" t="e">
        <f>#REF!</f>
        <v>#REF!</v>
      </c>
      <c r="B97" s="1">
        <v>13089005</v>
      </c>
      <c r="C97" s="1" t="s">
        <v>159</v>
      </c>
      <c r="D97" s="1">
        <v>35</v>
      </c>
      <c r="E97" t="s">
        <v>65</v>
      </c>
      <c r="F97" s="19">
        <f>IFERROR(D97*_xlfn.XLOOKUP(B97,MA_ARTICULOS!$A:$A,MA_ARTICULOS!$E:$E,0),"")</f>
        <v>0.43209876543209874</v>
      </c>
    </row>
    <row r="98" spans="1:6" x14ac:dyDescent="0.3">
      <c r="A98" s="6" t="e">
        <f>#REF!</f>
        <v>#REF!</v>
      </c>
      <c r="B98" s="1">
        <v>13089006</v>
      </c>
      <c r="C98" s="1" t="s">
        <v>160</v>
      </c>
      <c r="D98" s="1">
        <v>24</v>
      </c>
      <c r="E98" t="s">
        <v>65</v>
      </c>
      <c r="F98" s="19">
        <f>IFERROR(D98*_xlfn.XLOOKUP(B98,MA_ARTICULOS!$A:$A,MA_ARTICULOS!$E:$E,0),"")</f>
        <v>0.29629629629629628</v>
      </c>
    </row>
    <row r="99" spans="1:6" x14ac:dyDescent="0.3">
      <c r="A99" s="6" t="e">
        <f>#REF!</f>
        <v>#REF!</v>
      </c>
      <c r="B99" s="1">
        <v>13089007</v>
      </c>
      <c r="C99" s="1" t="s">
        <v>161</v>
      </c>
      <c r="D99" s="1">
        <v>545</v>
      </c>
      <c r="E99" t="s">
        <v>65</v>
      </c>
      <c r="F99" s="19">
        <f>IFERROR(D99*_xlfn.XLOOKUP(B99,MA_ARTICULOS!$A:$A,MA_ARTICULOS!$E:$E,0),"")</f>
        <v>6.7283950617283947</v>
      </c>
    </row>
    <row r="100" spans="1:6" x14ac:dyDescent="0.3">
      <c r="A100" s="6" t="e">
        <f>#REF!</f>
        <v>#REF!</v>
      </c>
      <c r="B100" s="1">
        <v>13090001</v>
      </c>
      <c r="C100" s="1" t="s">
        <v>162</v>
      </c>
      <c r="D100" s="1">
        <v>290</v>
      </c>
      <c r="E100" t="s">
        <v>65</v>
      </c>
      <c r="F100" s="19">
        <f>IFERROR(D100*_xlfn.XLOOKUP(B100,MA_ARTICULOS!$A:$A,MA_ARTICULOS!$E:$E,0),"")</f>
        <v>3.5802469135802468</v>
      </c>
    </row>
    <row r="101" spans="1:6" x14ac:dyDescent="0.3">
      <c r="A101" s="6" t="e">
        <f>#REF!</f>
        <v>#REF!</v>
      </c>
      <c r="B101" s="1">
        <v>13090002</v>
      </c>
      <c r="C101" s="1" t="s">
        <v>163</v>
      </c>
      <c r="D101" s="1">
        <v>137</v>
      </c>
      <c r="E101" t="s">
        <v>65</v>
      </c>
      <c r="F101" s="19">
        <f>IFERROR(D101*_xlfn.XLOOKUP(B101,MA_ARTICULOS!$A:$A,MA_ARTICULOS!$E:$E,0),"")</f>
        <v>1.691358024691358</v>
      </c>
    </row>
    <row r="102" spans="1:6" x14ac:dyDescent="0.3">
      <c r="A102" s="6" t="e">
        <f>#REF!</f>
        <v>#REF!</v>
      </c>
      <c r="B102" s="1">
        <v>13099001</v>
      </c>
      <c r="C102" s="1" t="s">
        <v>164</v>
      </c>
      <c r="D102" s="1">
        <v>255</v>
      </c>
      <c r="E102" t="s">
        <v>65</v>
      </c>
      <c r="F102" s="19">
        <f>IFERROR(D102*_xlfn.XLOOKUP(B102,MA_ARTICULOS!$A:$A,MA_ARTICULOS!$E:$E,0),"")</f>
        <v>2.1428571428571428</v>
      </c>
    </row>
    <row r="103" spans="1:6" x14ac:dyDescent="0.3">
      <c r="A103" s="6" t="e">
        <f>#REF!</f>
        <v>#REF!</v>
      </c>
      <c r="B103" s="1">
        <v>13099002</v>
      </c>
      <c r="C103" s="1" t="s">
        <v>165</v>
      </c>
      <c r="D103" s="1">
        <v>622</v>
      </c>
      <c r="E103" t="s">
        <v>65</v>
      </c>
      <c r="F103" s="19">
        <f>IFERROR(D103*_xlfn.XLOOKUP(B103,MA_ARTICULOS!$A:$A,MA_ARTICULOS!$E:$E,0),"")</f>
        <v>5.2268907563025211</v>
      </c>
    </row>
    <row r="104" spans="1:6" x14ac:dyDescent="0.3">
      <c r="A104" s="6" t="e">
        <f>#REF!</f>
        <v>#REF!</v>
      </c>
      <c r="B104" s="1">
        <v>13110001</v>
      </c>
      <c r="C104" s="1" t="s">
        <v>166</v>
      </c>
      <c r="D104" s="1">
        <v>177</v>
      </c>
      <c r="E104" t="s">
        <v>65</v>
      </c>
      <c r="F104" s="19">
        <f>IFERROR(D104*_xlfn.XLOOKUP(B104,MA_ARTICULOS!$A:$A,MA_ARTICULOS!$E:$E,0),"")</f>
        <v>1.4873949579831933</v>
      </c>
    </row>
    <row r="105" spans="1:6" x14ac:dyDescent="0.3">
      <c r="A105" s="6" t="e">
        <f>#REF!</f>
        <v>#REF!</v>
      </c>
      <c r="B105" s="1">
        <v>13110002</v>
      </c>
      <c r="C105" s="1" t="s">
        <v>167</v>
      </c>
      <c r="D105" s="1">
        <v>181</v>
      </c>
      <c r="E105" t="s">
        <v>65</v>
      </c>
      <c r="F105" s="19">
        <f>IFERROR(D105*_xlfn.XLOOKUP(B105,MA_ARTICULOS!$A:$A,MA_ARTICULOS!$E:$E,0),"")</f>
        <v>1.5210084033613445</v>
      </c>
    </row>
    <row r="106" spans="1:6" x14ac:dyDescent="0.3">
      <c r="A106" s="6" t="e">
        <f>#REF!</f>
        <v>#REF!</v>
      </c>
      <c r="B106" s="1">
        <v>13110003</v>
      </c>
      <c r="C106" s="1" t="s">
        <v>168</v>
      </c>
      <c r="D106" s="1">
        <v>127</v>
      </c>
      <c r="E106" t="s">
        <v>65</v>
      </c>
      <c r="F106" s="19">
        <f>IFERROR(D106*_xlfn.XLOOKUP(B106,MA_ARTICULOS!$A:$A,MA_ARTICULOS!$E:$E,0),"")</f>
        <v>1.0672268907563025</v>
      </c>
    </row>
    <row r="107" spans="1:6" x14ac:dyDescent="0.3">
      <c r="A107" s="6" t="e">
        <f>#REF!</f>
        <v>#REF!</v>
      </c>
      <c r="B107" s="1">
        <v>13110004</v>
      </c>
      <c r="C107" s="1" t="s">
        <v>169</v>
      </c>
      <c r="D107" s="1">
        <v>258</v>
      </c>
      <c r="E107" t="s">
        <v>65</v>
      </c>
      <c r="F107" s="19">
        <f>IFERROR(D107*_xlfn.XLOOKUP(B107,MA_ARTICULOS!$A:$A,MA_ARTICULOS!$E:$E,0),"")</f>
        <v>2.1680672268907561</v>
      </c>
    </row>
    <row r="108" spans="1:6" x14ac:dyDescent="0.3">
      <c r="A108" s="6" t="e">
        <f>#REF!</f>
        <v>#REF!</v>
      </c>
      <c r="B108" s="1">
        <v>13130001</v>
      </c>
      <c r="C108" s="1" t="s">
        <v>170</v>
      </c>
      <c r="D108" s="1">
        <v>1</v>
      </c>
      <c r="E108" t="s">
        <v>65</v>
      </c>
      <c r="F108" s="19">
        <f>IFERROR(D108*_xlfn.XLOOKUP(B108,MA_ARTICULOS!$A:$A,MA_ARTICULOS!$E:$E,0),"")</f>
        <v>8.4033613445378148E-3</v>
      </c>
    </row>
    <row r="109" spans="1:6" x14ac:dyDescent="0.3">
      <c r="A109" s="6" t="e">
        <f>#REF!</f>
        <v>#REF!</v>
      </c>
      <c r="B109" s="1">
        <v>13130002</v>
      </c>
      <c r="C109" s="1" t="s">
        <v>171</v>
      </c>
      <c r="D109" s="1">
        <v>476</v>
      </c>
      <c r="E109" t="s">
        <v>65</v>
      </c>
      <c r="F109" s="19">
        <f>IFERROR(D109*_xlfn.XLOOKUP(B109,MA_ARTICULOS!$A:$A,MA_ARTICULOS!$E:$E,0),"")</f>
        <v>4</v>
      </c>
    </row>
    <row r="110" spans="1:6" x14ac:dyDescent="0.3">
      <c r="A110" s="6" t="e">
        <f>#REF!</f>
        <v>#REF!</v>
      </c>
      <c r="B110" s="1">
        <v>13130003</v>
      </c>
      <c r="C110" s="1" t="s">
        <v>172</v>
      </c>
      <c r="D110" s="1">
        <v>358</v>
      </c>
      <c r="E110" t="s">
        <v>65</v>
      </c>
      <c r="F110" s="19">
        <f>IFERROR(D110*_xlfn.XLOOKUP(B110,MA_ARTICULOS!$A:$A,MA_ARTICULOS!$E:$E,0),"")</f>
        <v>3.0084033613445378</v>
      </c>
    </row>
    <row r="111" spans="1:6" x14ac:dyDescent="0.3">
      <c r="A111" s="6" t="e">
        <f>#REF!</f>
        <v>#REF!</v>
      </c>
      <c r="B111" s="1">
        <v>23080001</v>
      </c>
      <c r="C111" s="1" t="s">
        <v>173</v>
      </c>
      <c r="D111" s="1">
        <v>50</v>
      </c>
      <c r="E111" t="s">
        <v>65</v>
      </c>
      <c r="F111" s="19">
        <f>IFERROR(D111*_xlfn.XLOOKUP(B111,MA_ARTICULOS!$A:$A,MA_ARTICULOS!$E:$E,0),"")</f>
        <v>0.41666666666666669</v>
      </c>
    </row>
    <row r="112" spans="1:6" x14ac:dyDescent="0.3">
      <c r="A112" s="6" t="e">
        <f>#REF!</f>
        <v>#REF!</v>
      </c>
      <c r="B112" s="1">
        <v>23080002</v>
      </c>
      <c r="C112" s="1" t="s">
        <v>174</v>
      </c>
      <c r="D112" s="1">
        <v>14</v>
      </c>
      <c r="E112" t="s">
        <v>65</v>
      </c>
      <c r="F112" s="19">
        <f>IFERROR(D112*_xlfn.XLOOKUP(B112,MA_ARTICULOS!$A:$A,MA_ARTICULOS!$E:$E,0),"")</f>
        <v>0.11666666666666667</v>
      </c>
    </row>
    <row r="113" spans="1:6" x14ac:dyDescent="0.3">
      <c r="A113" s="6" t="e">
        <f>#REF!</f>
        <v>#REF!</v>
      </c>
      <c r="B113" s="1">
        <v>23080003</v>
      </c>
      <c r="C113" s="1" t="s">
        <v>175</v>
      </c>
      <c r="D113" s="1">
        <v>56</v>
      </c>
      <c r="E113" t="s">
        <v>65</v>
      </c>
      <c r="F113" s="19">
        <f>IFERROR(D113*_xlfn.XLOOKUP(B113,MA_ARTICULOS!$A:$A,MA_ARTICULOS!$E:$E,0),"")</f>
        <v>0.46666666666666667</v>
      </c>
    </row>
    <row r="114" spans="1:6" x14ac:dyDescent="0.3">
      <c r="A114" s="6" t="e">
        <f>#REF!</f>
        <v>#REF!</v>
      </c>
      <c r="B114" s="1">
        <v>23080004</v>
      </c>
      <c r="C114" s="1" t="s">
        <v>176</v>
      </c>
      <c r="D114" s="1">
        <v>104</v>
      </c>
      <c r="E114" t="s">
        <v>65</v>
      </c>
      <c r="F114" s="19">
        <f>IFERROR(D114*_xlfn.XLOOKUP(B114,MA_ARTICULOS!$A:$A,MA_ARTICULOS!$E:$E,0),"")</f>
        <v>0.8666666666666667</v>
      </c>
    </row>
    <row r="115" spans="1:6" x14ac:dyDescent="0.3">
      <c r="A115" s="6" t="e">
        <f>#REF!</f>
        <v>#REF!</v>
      </c>
      <c r="B115" s="1">
        <v>23080005</v>
      </c>
      <c r="C115" s="1" t="s">
        <v>177</v>
      </c>
      <c r="D115" s="1">
        <v>71</v>
      </c>
      <c r="E115" t="s">
        <v>65</v>
      </c>
      <c r="F115" s="19">
        <f>IFERROR(D115*_xlfn.XLOOKUP(B115,MA_ARTICULOS!$A:$A,MA_ARTICULOS!$E:$E,0),"")</f>
        <v>0.59166666666666667</v>
      </c>
    </row>
    <row r="116" spans="1:6" x14ac:dyDescent="0.3">
      <c r="A116" s="6" t="e">
        <f>#REF!</f>
        <v>#REF!</v>
      </c>
      <c r="B116" s="1">
        <v>23080006</v>
      </c>
      <c r="C116" s="1" t="s">
        <v>178</v>
      </c>
      <c r="D116" s="1">
        <v>164</v>
      </c>
      <c r="E116" t="s">
        <v>65</v>
      </c>
      <c r="F116" s="19">
        <f>IFERROR(D116*_xlfn.XLOOKUP(B116,MA_ARTICULOS!$A:$A,MA_ARTICULOS!$E:$E,0),"")</f>
        <v>1.3666666666666667</v>
      </c>
    </row>
    <row r="117" spans="1:6" x14ac:dyDescent="0.3">
      <c r="A117" s="6" t="e">
        <f>#REF!</f>
        <v>#REF!</v>
      </c>
      <c r="B117" s="1">
        <v>23080007</v>
      </c>
      <c r="C117" s="1" t="s">
        <v>179</v>
      </c>
      <c r="D117" s="1">
        <v>80</v>
      </c>
      <c r="E117" t="s">
        <v>65</v>
      </c>
      <c r="F117" s="19">
        <f>IFERROR(D117*_xlfn.XLOOKUP(B117,MA_ARTICULOS!$A:$A,MA_ARTICULOS!$E:$E,0),"")</f>
        <v>0.66666666666666663</v>
      </c>
    </row>
    <row r="118" spans="1:6" x14ac:dyDescent="0.3">
      <c r="A118" s="6" t="e">
        <f>#REF!</f>
        <v>#REF!</v>
      </c>
      <c r="B118" s="1">
        <v>101</v>
      </c>
      <c r="C118" s="1" t="s">
        <v>180</v>
      </c>
      <c r="D118" s="1">
        <v>52</v>
      </c>
      <c r="E118" t="s">
        <v>65</v>
      </c>
      <c r="F118" s="19">
        <f>IFERROR(D118*_xlfn.XLOOKUP(B118,MA_ARTICULOS!$A:$A,MA_ARTICULOS!$E:$E,0),"")</f>
        <v>0.43333333333333335</v>
      </c>
    </row>
    <row r="119" spans="1:6" x14ac:dyDescent="0.3">
      <c r="A119" s="6" t="e">
        <f>#REF!</f>
        <v>#REF!</v>
      </c>
      <c r="B119" s="1">
        <v>102</v>
      </c>
      <c r="C119" s="1" t="s">
        <v>181</v>
      </c>
      <c r="D119" s="1">
        <v>80</v>
      </c>
      <c r="E119" t="s">
        <v>65</v>
      </c>
      <c r="F119" s="19">
        <f>IFERROR(D119*_xlfn.XLOOKUP(B119,MA_ARTICULOS!$A:$A,MA_ARTICULOS!$E:$E,0),"")</f>
        <v>0.66666666666666663</v>
      </c>
    </row>
    <row r="120" spans="1:6" x14ac:dyDescent="0.3">
      <c r="A120" s="6" t="e">
        <f>#REF!</f>
        <v>#REF!</v>
      </c>
      <c r="B120" s="1">
        <v>104</v>
      </c>
      <c r="C120" s="1" t="s">
        <v>182</v>
      </c>
      <c r="D120" s="1">
        <v>430</v>
      </c>
      <c r="E120" t="s">
        <v>65</v>
      </c>
      <c r="F120" s="19">
        <f>IFERROR(D120*_xlfn.XLOOKUP(B120,MA_ARTICULOS!$A:$A,MA_ARTICULOS!$E:$E,0),"")</f>
        <v>3.5833333333333335</v>
      </c>
    </row>
    <row r="121" spans="1:6" x14ac:dyDescent="0.3">
      <c r="A121" s="6" t="e">
        <f>#REF!</f>
        <v>#REF!</v>
      </c>
      <c r="B121" s="1">
        <v>105</v>
      </c>
      <c r="C121" s="1" t="s">
        <v>183</v>
      </c>
      <c r="D121" s="1">
        <v>337</v>
      </c>
      <c r="E121" t="s">
        <v>65</v>
      </c>
      <c r="F121" s="19">
        <f>IFERROR(D121*_xlfn.XLOOKUP(B121,MA_ARTICULOS!$A:$A,MA_ARTICULOS!$E:$E,0),"")</f>
        <v>2.8083333333333331</v>
      </c>
    </row>
    <row r="122" spans="1:6" x14ac:dyDescent="0.3">
      <c r="A122" s="6" t="e">
        <f>#REF!</f>
        <v>#REF!</v>
      </c>
      <c r="B122" s="1">
        <v>106</v>
      </c>
      <c r="C122" s="1" t="s">
        <v>184</v>
      </c>
      <c r="D122" s="1">
        <v>336</v>
      </c>
      <c r="E122" t="s">
        <v>65</v>
      </c>
      <c r="F122" s="19">
        <f>IFERROR(D122*_xlfn.XLOOKUP(B122,MA_ARTICULOS!$A:$A,MA_ARTICULOS!$E:$E,0),"")</f>
        <v>2.8</v>
      </c>
    </row>
    <row r="123" spans="1:6" x14ac:dyDescent="0.3">
      <c r="A123" s="6" t="e">
        <f>#REF!</f>
        <v>#REF!</v>
      </c>
      <c r="B123" s="1">
        <v>120</v>
      </c>
      <c r="C123" s="1" t="s">
        <v>185</v>
      </c>
      <c r="D123" s="1">
        <v>312</v>
      </c>
      <c r="E123" t="s">
        <v>65</v>
      </c>
      <c r="F123" s="19">
        <f>IFERROR(D123*_xlfn.XLOOKUP(B123,MA_ARTICULOS!$A:$A,MA_ARTICULOS!$E:$E,0),"")</f>
        <v>2.6</v>
      </c>
    </row>
    <row r="124" spans="1:6" x14ac:dyDescent="0.3">
      <c r="A124" s="6" t="e">
        <f>#REF!</f>
        <v>#REF!</v>
      </c>
      <c r="B124">
        <v>121</v>
      </c>
      <c r="C124" t="s">
        <v>186</v>
      </c>
      <c r="D124">
        <v>334</v>
      </c>
      <c r="E124" t="s">
        <v>65</v>
      </c>
      <c r="F124" s="19">
        <f>IFERROR(D124*_xlfn.XLOOKUP(B124,MA_ARTICULOS!$A:$A,MA_ARTICULOS!$E:$E,0),"")</f>
        <v>2.7833333333333332</v>
      </c>
    </row>
    <row r="125" spans="1:6" x14ac:dyDescent="0.3">
      <c r="A125" s="18" t="s">
        <v>204</v>
      </c>
      <c r="B125" s="14"/>
      <c r="C125" s="14"/>
      <c r="D125" s="14"/>
      <c r="E125" s="14"/>
      <c r="F125" s="21"/>
    </row>
    <row r="126" spans="1:6" x14ac:dyDescent="0.3">
      <c r="A126" s="11" t="e">
        <f>IF(#REF!&gt;=2,#REF!,"")</f>
        <v>#REF!</v>
      </c>
      <c r="B126" s="8">
        <v>11010001</v>
      </c>
      <c r="C126" s="8" t="s">
        <v>64</v>
      </c>
      <c r="D126" s="12" t="e">
        <f>IF(#REF!&gt;=2,IFERROR(MAX(0,#REF!)/IFERROR(_xlfn.SINGLE(_xlfn.XLOOKUP(B126,MA_ARTICULOS!$A:$A,MA_ARTICULOS!$E:$E,1)),1),0),"")</f>
        <v>#REF!</v>
      </c>
      <c r="E126" s="15" t="s">
        <v>65</v>
      </c>
      <c r="F126" s="22" t="e">
        <f>IF(#REF!&gt;=2,IFERROR(D126*_xlfn.SINGLE(_xlfn.XLOOKUP(B126,MA_ARTICULOS!$A:$A,MA_ARTICULOS!$E:$E,0)),""),"")</f>
        <v>#REF!</v>
      </c>
    </row>
    <row r="127" spans="1:6" ht="28.05" customHeight="1" x14ac:dyDescent="0.3">
      <c r="A127" s="11" t="e">
        <f>IF(#REF!&gt;=2,#REF!,"")</f>
        <v>#REF!</v>
      </c>
      <c r="B127" s="8">
        <v>11010002</v>
      </c>
      <c r="C127" s="8" t="s">
        <v>66</v>
      </c>
      <c r="D127" s="12" t="e">
        <f>IF(#REF!&gt;=2,IFERROR(MAX(0,#REF!)/IFERROR(_xlfn.SINGLE(_xlfn.XLOOKUP(B127,MA_ARTICULOS!$A:$A,MA_ARTICULOS!$E:$E,1)),1),0),"")</f>
        <v>#REF!</v>
      </c>
      <c r="E127" s="15" t="s">
        <v>65</v>
      </c>
      <c r="F127" s="22" t="e">
        <f>IF(#REF!&gt;=2,IFERROR(D127*_xlfn.SINGLE(_xlfn.XLOOKUP(B127,MA_ARTICULOS!$A:$A,MA_ARTICULOS!$E:$E,0)),""),"")</f>
        <v>#REF!</v>
      </c>
    </row>
    <row r="128" spans="1:6" x14ac:dyDescent="0.3">
      <c r="A128" s="11" t="e">
        <f>IF(#REF!&gt;=2,#REF!,"")</f>
        <v>#REF!</v>
      </c>
      <c r="B128" s="8">
        <v>11010003</v>
      </c>
      <c r="C128" s="8" t="s">
        <v>67</v>
      </c>
      <c r="D128" s="12" t="e">
        <f>IF(#REF!&gt;=2,IFERROR(MAX(0,#REF!)/IFERROR(_xlfn.SINGLE(_xlfn.XLOOKUP(B128,MA_ARTICULOS!$A:$A,MA_ARTICULOS!$E:$E,1)),1),0),"")</f>
        <v>#REF!</v>
      </c>
      <c r="E128" s="15" t="s">
        <v>65</v>
      </c>
      <c r="F128" s="22" t="e">
        <f>IF(#REF!&gt;=2,IFERROR(D128*_xlfn.SINGLE(_xlfn.XLOOKUP(B128,MA_ARTICULOS!$A:$A,MA_ARTICULOS!$E:$E,0)),""),"")</f>
        <v>#REF!</v>
      </c>
    </row>
    <row r="129" spans="1:6" x14ac:dyDescent="0.3">
      <c r="A129" s="11" t="e">
        <f>IF(#REF!&gt;=2,#REF!,"")</f>
        <v>#REF!</v>
      </c>
      <c r="B129" s="8">
        <v>11010004</v>
      </c>
      <c r="C129" s="8" t="s">
        <v>68</v>
      </c>
      <c r="D129" s="12" t="e">
        <f>IF(#REF!&gt;=2,IFERROR(MAX(0,#REF!)/IFERROR(_xlfn.SINGLE(_xlfn.XLOOKUP(B129,MA_ARTICULOS!$A:$A,MA_ARTICULOS!$E:$E,1)),1),0),"")</f>
        <v>#REF!</v>
      </c>
      <c r="E129" s="15" t="s">
        <v>65</v>
      </c>
      <c r="F129" s="22" t="e">
        <f>IF(#REF!&gt;=2,IFERROR(D129*_xlfn.SINGLE(_xlfn.XLOOKUP(B129,MA_ARTICULOS!$A:$A,MA_ARTICULOS!$E:$E,0)),""),"")</f>
        <v>#REF!</v>
      </c>
    </row>
    <row r="130" spans="1:6" x14ac:dyDescent="0.3">
      <c r="A130" s="11" t="e">
        <f>IF(#REF!&gt;=2,#REF!,"")</f>
        <v>#REF!</v>
      </c>
      <c r="B130" s="8">
        <v>11010005</v>
      </c>
      <c r="C130" s="8" t="s">
        <v>69</v>
      </c>
      <c r="D130" s="12" t="e">
        <f>IF(#REF!&gt;=2,IFERROR(MAX(0,#REF!)/IFERROR(_xlfn.SINGLE(_xlfn.XLOOKUP(B130,MA_ARTICULOS!$A:$A,MA_ARTICULOS!$E:$E,1)),1),0),"")</f>
        <v>#REF!</v>
      </c>
      <c r="E130" s="15" t="s">
        <v>65</v>
      </c>
      <c r="F130" s="22" t="e">
        <f>IF(#REF!&gt;=2,IFERROR(D130*_xlfn.SINGLE(_xlfn.XLOOKUP(B130,MA_ARTICULOS!$A:$A,MA_ARTICULOS!$E:$E,0)),""),"")</f>
        <v>#REF!</v>
      </c>
    </row>
    <row r="131" spans="1:6" x14ac:dyDescent="0.3">
      <c r="A131" s="11" t="e">
        <f>IF(#REF!&gt;=2,#REF!,"")</f>
        <v>#REF!</v>
      </c>
      <c r="B131" s="8">
        <v>11010007</v>
      </c>
      <c r="C131" s="8" t="s">
        <v>70</v>
      </c>
      <c r="D131" s="12" t="e">
        <f>IF(#REF!&gt;=2,IFERROR(MAX(0,#REF!)/IFERROR(_xlfn.SINGLE(_xlfn.XLOOKUP(B131,MA_ARTICULOS!$A:$A,MA_ARTICULOS!$E:$E,1)),1),0),"")</f>
        <v>#REF!</v>
      </c>
      <c r="E131" s="15" t="s">
        <v>65</v>
      </c>
      <c r="F131" s="22" t="e">
        <f>IF(#REF!&gt;=2,IFERROR(D131*_xlfn.SINGLE(_xlfn.XLOOKUP(B131,MA_ARTICULOS!$A:$A,MA_ARTICULOS!$E:$E,0)),""),"")</f>
        <v>#REF!</v>
      </c>
    </row>
    <row r="132" spans="1:6" x14ac:dyDescent="0.3">
      <c r="A132" s="11" t="e">
        <f>IF(#REF!&gt;=2,#REF!,"")</f>
        <v>#REF!</v>
      </c>
      <c r="B132" s="8">
        <v>11010008</v>
      </c>
      <c r="C132" s="8" t="s">
        <v>71</v>
      </c>
      <c r="D132" s="12" t="e">
        <f>IF(#REF!&gt;=2,IFERROR(MAX(0,#REF!)/IFERROR(_xlfn.SINGLE(_xlfn.XLOOKUP(B132,MA_ARTICULOS!$A:$A,MA_ARTICULOS!$E:$E,1)),1),0),"")</f>
        <v>#REF!</v>
      </c>
      <c r="E132" s="15" t="s">
        <v>65</v>
      </c>
      <c r="F132" s="22" t="e">
        <f>IF(#REF!&gt;=2,IFERROR(D132*_xlfn.SINGLE(_xlfn.XLOOKUP(B132,MA_ARTICULOS!$A:$A,MA_ARTICULOS!$E:$E,0)),""),"")</f>
        <v>#REF!</v>
      </c>
    </row>
    <row r="133" spans="1:6" x14ac:dyDescent="0.3">
      <c r="A133" s="11" t="e">
        <f>IF(#REF!&gt;=2,#REF!,"")</f>
        <v>#REF!</v>
      </c>
      <c r="B133" s="8">
        <v>11010009</v>
      </c>
      <c r="C133" s="8" t="s">
        <v>72</v>
      </c>
      <c r="D133" s="12" t="e">
        <f>IF(#REF!&gt;=2,IFERROR(MAX(0,#REF!)/IFERROR(_xlfn.SINGLE(_xlfn.XLOOKUP(B133,MA_ARTICULOS!$A:$A,MA_ARTICULOS!$E:$E,1)),1),0),"")</f>
        <v>#REF!</v>
      </c>
      <c r="E133" s="15" t="s">
        <v>65</v>
      </c>
      <c r="F133" s="22" t="e">
        <f>IF(#REF!&gt;=2,IFERROR(D133*_xlfn.SINGLE(_xlfn.XLOOKUP(B133,MA_ARTICULOS!$A:$A,MA_ARTICULOS!$E:$E,0)),""),"")</f>
        <v>#REF!</v>
      </c>
    </row>
    <row r="134" spans="1:6" x14ac:dyDescent="0.3">
      <c r="A134" s="11" t="e">
        <f>IF(#REF!&gt;=2,#REF!,"")</f>
        <v>#REF!</v>
      </c>
      <c r="B134" s="8">
        <v>11010010</v>
      </c>
      <c r="C134" s="8" t="s">
        <v>73</v>
      </c>
      <c r="D134" s="12" t="e">
        <f>IF(#REF!&gt;=2,IFERROR(MAX(0,#REF!)/IFERROR(_xlfn.SINGLE(_xlfn.XLOOKUP(B134,MA_ARTICULOS!$A:$A,MA_ARTICULOS!$E:$E,1)),1),0),"")</f>
        <v>#REF!</v>
      </c>
      <c r="E134" s="15" t="s">
        <v>65</v>
      </c>
      <c r="F134" s="22" t="e">
        <f>IF(#REF!&gt;=2,IFERROR(D134*_xlfn.SINGLE(_xlfn.XLOOKUP(B134,MA_ARTICULOS!$A:$A,MA_ARTICULOS!$E:$E,0)),""),"")</f>
        <v>#REF!</v>
      </c>
    </row>
    <row r="135" spans="1:6" x14ac:dyDescent="0.3">
      <c r="A135" s="11" t="e">
        <f>IF(#REF!&gt;=2,#REF!,"")</f>
        <v>#REF!</v>
      </c>
      <c r="B135" s="8">
        <v>11010011</v>
      </c>
      <c r="C135" s="8" t="s">
        <v>74</v>
      </c>
      <c r="D135" s="12" t="e">
        <f>IF(#REF!&gt;=2,IFERROR(MAX(0,#REF!)/IFERROR(_xlfn.SINGLE(_xlfn.XLOOKUP(B135,MA_ARTICULOS!$A:$A,MA_ARTICULOS!$E:$E,1)),1),0),"")</f>
        <v>#REF!</v>
      </c>
      <c r="E135" s="15" t="s">
        <v>65</v>
      </c>
      <c r="F135" s="22" t="e">
        <f>IF(#REF!&gt;=2,IFERROR(D135*_xlfn.SINGLE(_xlfn.XLOOKUP(B135,MA_ARTICULOS!$A:$A,MA_ARTICULOS!$E:$E,0)),""),"")</f>
        <v>#REF!</v>
      </c>
    </row>
    <row r="136" spans="1:6" x14ac:dyDescent="0.3">
      <c r="A136" s="11" t="e">
        <f>IF(#REF!&gt;=2,#REF!,"")</f>
        <v>#REF!</v>
      </c>
      <c r="B136" s="8">
        <v>11010013</v>
      </c>
      <c r="C136" s="8" t="s">
        <v>75</v>
      </c>
      <c r="D136" s="12" t="e">
        <f>IF(#REF!&gt;=2,IFERROR(MAX(0,#REF!)/IFERROR(_xlfn.SINGLE(_xlfn.XLOOKUP(B136,MA_ARTICULOS!$A:$A,MA_ARTICULOS!$E:$E,1)),1),0),"")</f>
        <v>#REF!</v>
      </c>
      <c r="E136" s="15" t="s">
        <v>65</v>
      </c>
      <c r="F136" s="22" t="e">
        <f>IF(#REF!&gt;=2,IFERROR(D136*_xlfn.SINGLE(_xlfn.XLOOKUP(B136,MA_ARTICULOS!$A:$A,MA_ARTICULOS!$E:$E,0)),""),"")</f>
        <v>#REF!</v>
      </c>
    </row>
    <row r="137" spans="1:6" x14ac:dyDescent="0.3">
      <c r="A137" s="11" t="e">
        <f>IF(#REF!&gt;=2,#REF!,"")</f>
        <v>#REF!</v>
      </c>
      <c r="B137" s="8">
        <v>11010014</v>
      </c>
      <c r="C137" s="8" t="s">
        <v>76</v>
      </c>
      <c r="D137" s="12" t="e">
        <f>IF(#REF!&gt;=2,IFERROR(MAX(0,#REF!)/IFERROR(_xlfn.SINGLE(_xlfn.XLOOKUP(B137,MA_ARTICULOS!$A:$A,MA_ARTICULOS!$E:$E,1)),1),0),"")</f>
        <v>#REF!</v>
      </c>
      <c r="E137" s="15" t="s">
        <v>65</v>
      </c>
      <c r="F137" s="22" t="e">
        <f>IF(#REF!&gt;=2,IFERROR(D137*_xlfn.SINGLE(_xlfn.XLOOKUP(B137,MA_ARTICULOS!$A:$A,MA_ARTICULOS!$E:$E,0)),""),"")</f>
        <v>#REF!</v>
      </c>
    </row>
    <row r="138" spans="1:6" x14ac:dyDescent="0.3">
      <c r="A138" s="11" t="e">
        <f>IF(#REF!&gt;=2,#REF!,"")</f>
        <v>#REF!</v>
      </c>
      <c r="B138" s="8">
        <v>11010015</v>
      </c>
      <c r="C138" s="8" t="s">
        <v>77</v>
      </c>
      <c r="D138" s="12" t="e">
        <f>IF(#REF!&gt;=2,IFERROR(MAX(0,#REF!)/IFERROR(_xlfn.SINGLE(_xlfn.XLOOKUP(B138,MA_ARTICULOS!$A:$A,MA_ARTICULOS!$E:$E,1)),1),0),"")</f>
        <v>#REF!</v>
      </c>
      <c r="E138" s="15" t="s">
        <v>65</v>
      </c>
      <c r="F138" s="22" t="e">
        <f>IF(#REF!&gt;=2,IFERROR(D138*_xlfn.SINGLE(_xlfn.XLOOKUP(B138,MA_ARTICULOS!$A:$A,MA_ARTICULOS!$E:$E,0)),""),"")</f>
        <v>#REF!</v>
      </c>
    </row>
    <row r="139" spans="1:6" x14ac:dyDescent="0.3">
      <c r="A139" s="11" t="e">
        <f>IF(#REF!&gt;=2,#REF!,"")</f>
        <v>#REF!</v>
      </c>
      <c r="B139" s="8">
        <v>11010018</v>
      </c>
      <c r="C139" s="8" t="s">
        <v>78</v>
      </c>
      <c r="D139" s="12" t="e">
        <f>IF(#REF!&gt;=2,IFERROR(MAX(0,#REF!)/IFERROR(_xlfn.SINGLE(_xlfn.XLOOKUP(B139,MA_ARTICULOS!$A:$A,MA_ARTICULOS!$E:$E,1)),1),0),"")</f>
        <v>#REF!</v>
      </c>
      <c r="E139" s="15" t="s">
        <v>65</v>
      </c>
      <c r="F139" s="22" t="e">
        <f>IF(#REF!&gt;=2,IFERROR(D139*_xlfn.SINGLE(_xlfn.XLOOKUP(B139,MA_ARTICULOS!$A:$A,MA_ARTICULOS!$E:$E,0)),""),"")</f>
        <v>#REF!</v>
      </c>
    </row>
    <row r="140" spans="1:6" x14ac:dyDescent="0.3">
      <c r="A140" s="11" t="e">
        <f>IF(#REF!&gt;=2,#REF!,"")</f>
        <v>#REF!</v>
      </c>
      <c r="B140" s="8">
        <v>11010019</v>
      </c>
      <c r="C140" s="8" t="s">
        <v>79</v>
      </c>
      <c r="D140" s="12" t="e">
        <f>IF(#REF!&gt;=2,IFERROR(MAX(0,#REF!)/IFERROR(_xlfn.SINGLE(_xlfn.XLOOKUP(B140,MA_ARTICULOS!$A:$A,MA_ARTICULOS!$E:$E,1)),1),0),"")</f>
        <v>#REF!</v>
      </c>
      <c r="E140" s="15" t="s">
        <v>65</v>
      </c>
      <c r="F140" s="22" t="e">
        <f>IF(#REF!&gt;=2,IFERROR(D140*_xlfn.SINGLE(_xlfn.XLOOKUP(B140,MA_ARTICULOS!$A:$A,MA_ARTICULOS!$E:$E,0)),""),"")</f>
        <v>#REF!</v>
      </c>
    </row>
    <row r="141" spans="1:6" x14ac:dyDescent="0.3">
      <c r="A141" s="11" t="e">
        <f>IF(#REF!&gt;=2,#REF!,"")</f>
        <v>#REF!</v>
      </c>
      <c r="B141" s="8">
        <v>11010020</v>
      </c>
      <c r="C141" s="8" t="s">
        <v>80</v>
      </c>
      <c r="D141" s="12" t="e">
        <f>IF(#REF!&gt;=2,IFERROR(MAX(0,#REF!)/IFERROR(_xlfn.SINGLE(_xlfn.XLOOKUP(B141,MA_ARTICULOS!$A:$A,MA_ARTICULOS!$E:$E,1)),1),0),"")</f>
        <v>#REF!</v>
      </c>
      <c r="E141" s="15" t="s">
        <v>65</v>
      </c>
      <c r="F141" s="22" t="e">
        <f>IF(#REF!&gt;=2,IFERROR(D141*_xlfn.SINGLE(_xlfn.XLOOKUP(B141,MA_ARTICULOS!$A:$A,MA_ARTICULOS!$E:$E,0)),""),"")</f>
        <v>#REF!</v>
      </c>
    </row>
    <row r="142" spans="1:6" x14ac:dyDescent="0.3">
      <c r="A142" s="11" t="e">
        <f>IF(#REF!&gt;=2,#REF!,"")</f>
        <v>#REF!</v>
      </c>
      <c r="B142" s="8">
        <v>11010022</v>
      </c>
      <c r="C142" s="8" t="s">
        <v>81</v>
      </c>
      <c r="D142" s="12" t="e">
        <f>IF(#REF!&gt;=2,IFERROR(MAX(0,#REF!)/IFERROR(_xlfn.SINGLE(_xlfn.XLOOKUP(B142,MA_ARTICULOS!$A:$A,MA_ARTICULOS!$E:$E,1)),1),0),"")</f>
        <v>#REF!</v>
      </c>
      <c r="E142" s="15" t="s">
        <v>65</v>
      </c>
      <c r="F142" s="22" t="e">
        <f>IF(#REF!&gt;=2,IFERROR(D142*_xlfn.SINGLE(_xlfn.XLOOKUP(B142,MA_ARTICULOS!$A:$A,MA_ARTICULOS!$E:$E,0)),""),"")</f>
        <v>#REF!</v>
      </c>
    </row>
    <row r="143" spans="1:6" x14ac:dyDescent="0.3">
      <c r="A143" s="11" t="e">
        <f>IF(#REF!&gt;=2,#REF!,"")</f>
        <v>#REF!</v>
      </c>
      <c r="B143" s="8">
        <v>11010023</v>
      </c>
      <c r="C143" s="8" t="s">
        <v>82</v>
      </c>
      <c r="D143" s="12" t="e">
        <f>IF(#REF!&gt;=2,IFERROR(MAX(0,#REF!)/IFERROR(_xlfn.SINGLE(_xlfn.XLOOKUP(B143,MA_ARTICULOS!$A:$A,MA_ARTICULOS!$E:$E,1)),1),0),"")</f>
        <v>#REF!</v>
      </c>
      <c r="E143" s="15" t="s">
        <v>65</v>
      </c>
      <c r="F143" s="22" t="e">
        <f>IF(#REF!&gt;=2,IFERROR(D143*_xlfn.SINGLE(_xlfn.XLOOKUP(B143,MA_ARTICULOS!$A:$A,MA_ARTICULOS!$E:$E,0)),""),"")</f>
        <v>#REF!</v>
      </c>
    </row>
    <row r="144" spans="1:6" x14ac:dyDescent="0.3">
      <c r="A144" s="11" t="e">
        <f>IF(#REF!&gt;=2,#REF!,"")</f>
        <v>#REF!</v>
      </c>
      <c r="B144" s="8">
        <v>11010027</v>
      </c>
      <c r="C144" s="8" t="s">
        <v>83</v>
      </c>
      <c r="D144" s="12" t="e">
        <f>IF(#REF!&gt;=2,IFERROR(MAX(0,#REF!)/IFERROR(_xlfn.SINGLE(_xlfn.XLOOKUP(B144,MA_ARTICULOS!$A:$A,MA_ARTICULOS!$E:$E,1)),1),0),"")</f>
        <v>#REF!</v>
      </c>
      <c r="E144" s="15" t="s">
        <v>65</v>
      </c>
      <c r="F144" s="22" t="e">
        <f>IF(#REF!&gt;=2,IFERROR(D144*_xlfn.SINGLE(_xlfn.XLOOKUP(B144,MA_ARTICULOS!$A:$A,MA_ARTICULOS!$E:$E,0)),""),"")</f>
        <v>#REF!</v>
      </c>
    </row>
    <row r="145" spans="1:6" x14ac:dyDescent="0.3">
      <c r="A145" s="11" t="e">
        <f>IF(#REF!&gt;=2,#REF!,"")</f>
        <v>#REF!</v>
      </c>
      <c r="B145" s="8">
        <v>11010201</v>
      </c>
      <c r="C145" s="8" t="s">
        <v>84</v>
      </c>
      <c r="D145" s="12" t="e">
        <f>IF(#REF!&gt;=2,IFERROR(MAX(0,#REF!)/IFERROR(_xlfn.SINGLE(_xlfn.XLOOKUP(B145,MA_ARTICULOS!$A:$A,MA_ARTICULOS!$E:$E,1)),1),0),"")</f>
        <v>#REF!</v>
      </c>
      <c r="E145" s="15" t="s">
        <v>65</v>
      </c>
      <c r="F145" s="22" t="e">
        <f>IF(#REF!&gt;=2,IFERROR(D145*_xlfn.SINGLE(_xlfn.XLOOKUP(B145,MA_ARTICULOS!$A:$A,MA_ARTICULOS!$E:$E,0)),""),"")</f>
        <v>#REF!</v>
      </c>
    </row>
    <row r="146" spans="1:6" x14ac:dyDescent="0.3">
      <c r="A146" s="11" t="e">
        <f>IF(#REF!&gt;=2,#REF!,"")</f>
        <v>#REF!</v>
      </c>
      <c r="B146" s="8">
        <v>11010202</v>
      </c>
      <c r="C146" s="8" t="s">
        <v>85</v>
      </c>
      <c r="D146" s="12" t="e">
        <f>IF(#REF!&gt;=2,IFERROR(MAX(0,#REF!)/IFERROR(_xlfn.SINGLE(_xlfn.XLOOKUP(B146,MA_ARTICULOS!$A:$A,MA_ARTICULOS!$E:$E,1)),1),0),"")</f>
        <v>#REF!</v>
      </c>
      <c r="E146" s="15" t="s">
        <v>65</v>
      </c>
      <c r="F146" s="22" t="e">
        <f>IF(#REF!&gt;=2,IFERROR(D146*_xlfn.SINGLE(_xlfn.XLOOKUP(B146,MA_ARTICULOS!$A:$A,MA_ARTICULOS!$E:$E,0)),""),"")</f>
        <v>#REF!</v>
      </c>
    </row>
    <row r="147" spans="1:6" x14ac:dyDescent="0.3">
      <c r="A147" s="11" t="e">
        <f>IF(#REF!&gt;=2,#REF!,"")</f>
        <v>#REF!</v>
      </c>
      <c r="B147" s="8">
        <v>11010203</v>
      </c>
      <c r="C147" s="8" t="s">
        <v>86</v>
      </c>
      <c r="D147" s="12" t="e">
        <f>IF(#REF!&gt;=2,IFERROR(MAX(0,#REF!)/IFERROR(_xlfn.SINGLE(_xlfn.XLOOKUP(B147,MA_ARTICULOS!$A:$A,MA_ARTICULOS!$E:$E,1)),1),0),"")</f>
        <v>#REF!</v>
      </c>
      <c r="E147" s="15" t="s">
        <v>65</v>
      </c>
      <c r="F147" s="22" t="e">
        <f>IF(#REF!&gt;=2,IFERROR(D147*_xlfn.SINGLE(_xlfn.XLOOKUP(B147,MA_ARTICULOS!$A:$A,MA_ARTICULOS!$E:$E,0)),""),"")</f>
        <v>#REF!</v>
      </c>
    </row>
    <row r="148" spans="1:6" x14ac:dyDescent="0.3">
      <c r="A148" s="11" t="e">
        <f>IF(#REF!&gt;=2,#REF!,"")</f>
        <v>#REF!</v>
      </c>
      <c r="B148" s="8">
        <v>11010204</v>
      </c>
      <c r="C148" s="8" t="s">
        <v>87</v>
      </c>
      <c r="D148" s="12" t="e">
        <f>IF(#REF!&gt;=2,IFERROR(MAX(0,#REF!)/IFERROR(_xlfn.SINGLE(_xlfn.XLOOKUP(B148,MA_ARTICULOS!$A:$A,MA_ARTICULOS!$E:$E,1)),1),0),"")</f>
        <v>#REF!</v>
      </c>
      <c r="E148" s="15" t="s">
        <v>65</v>
      </c>
      <c r="F148" s="22" t="e">
        <f>IF(#REF!&gt;=2,IFERROR(D148*_xlfn.SINGLE(_xlfn.XLOOKUP(B148,MA_ARTICULOS!$A:$A,MA_ARTICULOS!$E:$E,0)),""),"")</f>
        <v>#REF!</v>
      </c>
    </row>
    <row r="149" spans="1:6" x14ac:dyDescent="0.3">
      <c r="A149" s="11" t="e">
        <f>IF(#REF!&gt;=2,#REF!,"")</f>
        <v>#REF!</v>
      </c>
      <c r="B149" s="8">
        <v>11010301</v>
      </c>
      <c r="C149" s="8" t="s">
        <v>88</v>
      </c>
      <c r="D149" s="12" t="e">
        <f>IF(#REF!&gt;=2,IFERROR(MAX(0,#REF!)/IFERROR(_xlfn.SINGLE(_xlfn.XLOOKUP(B149,MA_ARTICULOS!$A:$A,MA_ARTICULOS!$E:$E,1)),1),0),"")</f>
        <v>#REF!</v>
      </c>
      <c r="E149" s="15" t="s">
        <v>65</v>
      </c>
      <c r="F149" s="22" t="e">
        <f>IF(#REF!&gt;=2,IFERROR(D149*_xlfn.SINGLE(_xlfn.XLOOKUP(B149,MA_ARTICULOS!$A:$A,MA_ARTICULOS!$E:$E,0)),""),"")</f>
        <v>#REF!</v>
      </c>
    </row>
    <row r="150" spans="1:6" x14ac:dyDescent="0.3">
      <c r="A150" s="11" t="e">
        <f>IF(#REF!&gt;=2,#REF!,"")</f>
        <v>#REF!</v>
      </c>
      <c r="B150" s="8">
        <v>11010302</v>
      </c>
      <c r="C150" s="8" t="s">
        <v>89</v>
      </c>
      <c r="D150" s="12" t="e">
        <f>IF(#REF!&gt;=2,IFERROR(MAX(0,#REF!)/IFERROR(_xlfn.SINGLE(_xlfn.XLOOKUP(B150,MA_ARTICULOS!$A:$A,MA_ARTICULOS!$E:$E,1)),1),0),"")</f>
        <v>#REF!</v>
      </c>
      <c r="E150" s="15" t="s">
        <v>65</v>
      </c>
      <c r="F150" s="22" t="e">
        <f>IF(#REF!&gt;=2,IFERROR(D150*_xlfn.SINGLE(_xlfn.XLOOKUP(B150,MA_ARTICULOS!$A:$A,MA_ARTICULOS!$E:$E,0)),""),"")</f>
        <v>#REF!</v>
      </c>
    </row>
    <row r="151" spans="1:6" x14ac:dyDescent="0.3">
      <c r="A151" s="11" t="e">
        <f>IF(#REF!&gt;=2,#REF!,"")</f>
        <v>#REF!</v>
      </c>
      <c r="B151" s="8">
        <v>11010303</v>
      </c>
      <c r="C151" s="8" t="s">
        <v>90</v>
      </c>
      <c r="D151" s="12" t="e">
        <f>IF(#REF!&gt;=2,IFERROR(MAX(0,#REF!)/IFERROR(_xlfn.SINGLE(_xlfn.XLOOKUP(B151,MA_ARTICULOS!$A:$A,MA_ARTICULOS!$E:$E,1)),1),0),"")</f>
        <v>#REF!</v>
      </c>
      <c r="E151" s="15" t="s">
        <v>65</v>
      </c>
      <c r="F151" s="22" t="e">
        <f>IF(#REF!&gt;=2,IFERROR(D151*_xlfn.SINGLE(_xlfn.XLOOKUP(B151,MA_ARTICULOS!$A:$A,MA_ARTICULOS!$E:$E,0)),""),"")</f>
        <v>#REF!</v>
      </c>
    </row>
    <row r="152" spans="1:6" x14ac:dyDescent="0.3">
      <c r="A152" s="11" t="e">
        <f>IF(#REF!&gt;=2,#REF!,"")</f>
        <v>#REF!</v>
      </c>
      <c r="B152" s="8">
        <v>11010304</v>
      </c>
      <c r="C152" s="8" t="s">
        <v>91</v>
      </c>
      <c r="D152" s="12" t="e">
        <f>IF(#REF!&gt;=2,IFERROR(MAX(0,#REF!)/IFERROR(_xlfn.SINGLE(_xlfn.XLOOKUP(B152,MA_ARTICULOS!$A:$A,MA_ARTICULOS!$E:$E,1)),1),0),"")</f>
        <v>#REF!</v>
      </c>
      <c r="E152" s="15" t="s">
        <v>65</v>
      </c>
      <c r="F152" s="22" t="e">
        <f>IF(#REF!&gt;=2,IFERROR(D152*_xlfn.SINGLE(_xlfn.XLOOKUP(B152,MA_ARTICULOS!$A:$A,MA_ARTICULOS!$E:$E,0)),""),"")</f>
        <v>#REF!</v>
      </c>
    </row>
    <row r="153" spans="1:6" x14ac:dyDescent="0.3">
      <c r="A153" s="11" t="e">
        <f>IF(#REF!&gt;=2,#REF!,"")</f>
        <v>#REF!</v>
      </c>
      <c r="B153" s="8">
        <v>11010305</v>
      </c>
      <c r="C153" s="8" t="s">
        <v>92</v>
      </c>
      <c r="D153" s="12" t="e">
        <f>IF(#REF!&gt;=2,IFERROR(MAX(0,#REF!)/IFERROR(_xlfn.SINGLE(_xlfn.XLOOKUP(B153,MA_ARTICULOS!$A:$A,MA_ARTICULOS!$E:$E,1)),1),0),"")</f>
        <v>#REF!</v>
      </c>
      <c r="E153" s="15" t="s">
        <v>65</v>
      </c>
      <c r="F153" s="22" t="e">
        <f>IF(#REF!&gt;=2,IFERROR(D153*_xlfn.SINGLE(_xlfn.XLOOKUP(B153,MA_ARTICULOS!$A:$A,MA_ARTICULOS!$E:$E,0)),""),"")</f>
        <v>#REF!</v>
      </c>
    </row>
    <row r="154" spans="1:6" x14ac:dyDescent="0.3">
      <c r="A154" s="11" t="e">
        <f>IF(#REF!&gt;=2,#REF!,"")</f>
        <v>#REF!</v>
      </c>
      <c r="B154" s="8">
        <v>11010306</v>
      </c>
      <c r="C154" s="8" t="s">
        <v>93</v>
      </c>
      <c r="D154" s="12" t="e">
        <f>IF(#REF!&gt;=2,IFERROR(MAX(0,#REF!)/IFERROR(_xlfn.SINGLE(_xlfn.XLOOKUP(B154,MA_ARTICULOS!$A:$A,MA_ARTICULOS!$E:$E,1)),1),0),"")</f>
        <v>#REF!</v>
      </c>
      <c r="E154" s="15" t="s">
        <v>65</v>
      </c>
      <c r="F154" s="22" t="e">
        <f>IF(#REF!&gt;=2,IFERROR(D154*_xlfn.SINGLE(_xlfn.XLOOKUP(B154,MA_ARTICULOS!$A:$A,MA_ARTICULOS!$E:$E,0)),""),"")</f>
        <v>#REF!</v>
      </c>
    </row>
    <row r="155" spans="1:6" x14ac:dyDescent="0.3">
      <c r="A155" s="11" t="e">
        <f>IF(#REF!&gt;=2,#REF!,"")</f>
        <v>#REF!</v>
      </c>
      <c r="B155" s="8">
        <v>11010307</v>
      </c>
      <c r="C155" s="8" t="s">
        <v>94</v>
      </c>
      <c r="D155" s="12" t="e">
        <f>IF(#REF!&gt;=2,IFERROR(MAX(0,#REF!)/IFERROR(_xlfn.SINGLE(_xlfn.XLOOKUP(B155,MA_ARTICULOS!$A:$A,MA_ARTICULOS!$E:$E,1)),1),0),"")</f>
        <v>#REF!</v>
      </c>
      <c r="E155" s="15" t="s">
        <v>65</v>
      </c>
      <c r="F155" s="22" t="e">
        <f>IF(#REF!&gt;=2,IFERROR(D155*_xlfn.SINGLE(_xlfn.XLOOKUP(B155,MA_ARTICULOS!$A:$A,MA_ARTICULOS!$E:$E,0)),""),"")</f>
        <v>#REF!</v>
      </c>
    </row>
    <row r="156" spans="1:6" x14ac:dyDescent="0.3">
      <c r="A156" s="11" t="e">
        <f>IF(#REF!&gt;=2,#REF!,"")</f>
        <v>#REF!</v>
      </c>
      <c r="B156" s="8">
        <v>11010308</v>
      </c>
      <c r="C156" s="8" t="s">
        <v>95</v>
      </c>
      <c r="D156" s="12" t="e">
        <f>IF(#REF!&gt;=2,IFERROR(MAX(0,#REF!)/IFERROR(_xlfn.SINGLE(_xlfn.XLOOKUP(B156,MA_ARTICULOS!$A:$A,MA_ARTICULOS!$E:$E,1)),1),0),"")</f>
        <v>#REF!</v>
      </c>
      <c r="E156" s="15" t="s">
        <v>65</v>
      </c>
      <c r="F156" s="22" t="e">
        <f>IF(#REF!&gt;=2,IFERROR(D156*_xlfn.SINGLE(_xlfn.XLOOKUP(B156,MA_ARTICULOS!$A:$A,MA_ARTICULOS!$E:$E,0)),""),"")</f>
        <v>#REF!</v>
      </c>
    </row>
    <row r="157" spans="1:6" x14ac:dyDescent="0.3">
      <c r="A157" s="11" t="e">
        <f>IF(#REF!&gt;=2,#REF!,"")</f>
        <v>#REF!</v>
      </c>
      <c r="B157" s="8">
        <v>11010309</v>
      </c>
      <c r="C157" s="8" t="s">
        <v>96</v>
      </c>
      <c r="D157" s="12" t="e">
        <f>IF(#REF!&gt;=2,IFERROR(MAX(0,#REF!)/IFERROR(_xlfn.SINGLE(_xlfn.XLOOKUP(B157,MA_ARTICULOS!$A:$A,MA_ARTICULOS!$E:$E,1)),1),0),"")</f>
        <v>#REF!</v>
      </c>
      <c r="E157" s="15" t="s">
        <v>65</v>
      </c>
      <c r="F157" s="22" t="e">
        <f>IF(#REF!&gt;=2,IFERROR(D157*_xlfn.SINGLE(_xlfn.XLOOKUP(B157,MA_ARTICULOS!$A:$A,MA_ARTICULOS!$E:$E,0)),""),"")</f>
        <v>#REF!</v>
      </c>
    </row>
    <row r="158" spans="1:6" x14ac:dyDescent="0.3">
      <c r="A158" s="11" t="e">
        <f>IF(#REF!&gt;=2,#REF!,"")</f>
        <v>#REF!</v>
      </c>
      <c r="B158" s="8">
        <v>11020001</v>
      </c>
      <c r="C158" s="8" t="s">
        <v>97</v>
      </c>
      <c r="D158" s="12" t="e">
        <f>IF(#REF!&gt;=2,IFERROR(MAX(0,#REF!)/IFERROR(_xlfn.SINGLE(_xlfn.XLOOKUP(B158,MA_ARTICULOS!$A:$A,MA_ARTICULOS!$E:$E,1)),1),0),"")</f>
        <v>#REF!</v>
      </c>
      <c r="E158" s="15" t="s">
        <v>65</v>
      </c>
      <c r="F158" s="22" t="e">
        <f>IF(#REF!&gt;=2,IFERROR(D158*_xlfn.SINGLE(_xlfn.XLOOKUP(B158,MA_ARTICULOS!$A:$A,MA_ARTICULOS!$E:$E,0)),""),"")</f>
        <v>#REF!</v>
      </c>
    </row>
    <row r="159" spans="1:6" x14ac:dyDescent="0.3">
      <c r="A159" s="11" t="e">
        <f>IF(#REF!&gt;=2,#REF!,"")</f>
        <v>#REF!</v>
      </c>
      <c r="B159" s="8">
        <v>11020002</v>
      </c>
      <c r="C159" s="8" t="s">
        <v>98</v>
      </c>
      <c r="D159" s="12" t="e">
        <f>IF(#REF!&gt;=2,IFERROR(MAX(0,#REF!)/IFERROR(_xlfn.SINGLE(_xlfn.XLOOKUP(B159,MA_ARTICULOS!$A:$A,MA_ARTICULOS!$E:$E,1)),1),0),"")</f>
        <v>#REF!</v>
      </c>
      <c r="E159" s="15" t="s">
        <v>65</v>
      </c>
      <c r="F159" s="22" t="e">
        <f>IF(#REF!&gt;=2,IFERROR(D159*_xlfn.SINGLE(_xlfn.XLOOKUP(B159,MA_ARTICULOS!$A:$A,MA_ARTICULOS!$E:$E,0)),""),"")</f>
        <v>#REF!</v>
      </c>
    </row>
    <row r="160" spans="1:6" x14ac:dyDescent="0.3">
      <c r="A160" s="11" t="e">
        <f>IF(#REF!&gt;=2,#REF!,"")</f>
        <v>#REF!</v>
      </c>
      <c r="B160" s="8">
        <v>11020003</v>
      </c>
      <c r="C160" s="8" t="s">
        <v>99</v>
      </c>
      <c r="D160" s="12" t="e">
        <f>IF(#REF!&gt;=2,IFERROR(MAX(0,#REF!)/IFERROR(_xlfn.SINGLE(_xlfn.XLOOKUP(B160,MA_ARTICULOS!$A:$A,MA_ARTICULOS!$E:$E,1)),1),0),"")</f>
        <v>#REF!</v>
      </c>
      <c r="E160" s="15" t="s">
        <v>65</v>
      </c>
      <c r="F160" s="22" t="e">
        <f>IF(#REF!&gt;=2,IFERROR(D160*_xlfn.SINGLE(_xlfn.XLOOKUP(B160,MA_ARTICULOS!$A:$A,MA_ARTICULOS!$E:$E,0)),""),"")</f>
        <v>#REF!</v>
      </c>
    </row>
    <row r="161" spans="1:6" x14ac:dyDescent="0.3">
      <c r="A161" s="11" t="e">
        <f>IF(#REF!&gt;=2,#REF!,"")</f>
        <v>#REF!</v>
      </c>
      <c r="B161" s="8">
        <v>11020004</v>
      </c>
      <c r="C161" s="8" t="s">
        <v>100</v>
      </c>
      <c r="D161" s="12" t="e">
        <f>IF(#REF!&gt;=2,IFERROR(MAX(0,#REF!)/IFERROR(_xlfn.SINGLE(_xlfn.XLOOKUP(B161,MA_ARTICULOS!$A:$A,MA_ARTICULOS!$E:$E,1)),1),0),"")</f>
        <v>#REF!</v>
      </c>
      <c r="E161" s="15" t="s">
        <v>65</v>
      </c>
      <c r="F161" s="22" t="e">
        <f>IF(#REF!&gt;=2,IFERROR(D161*_xlfn.SINGLE(_xlfn.XLOOKUP(B161,MA_ARTICULOS!$A:$A,MA_ARTICULOS!$E:$E,0)),""),"")</f>
        <v>#REF!</v>
      </c>
    </row>
    <row r="162" spans="1:6" x14ac:dyDescent="0.3">
      <c r="A162" s="11" t="e">
        <f>IF(#REF!&gt;=2,#REF!,"")</f>
        <v>#REF!</v>
      </c>
      <c r="B162" s="8">
        <v>11020005</v>
      </c>
      <c r="C162" s="8" t="s">
        <v>101</v>
      </c>
      <c r="D162" s="12" t="e">
        <f>IF(#REF!&gt;=2,IFERROR(MAX(0,#REF!)/IFERROR(_xlfn.SINGLE(_xlfn.XLOOKUP(B162,MA_ARTICULOS!$A:$A,MA_ARTICULOS!$E:$E,1)),1),0),"")</f>
        <v>#REF!</v>
      </c>
      <c r="E162" s="15" t="s">
        <v>65</v>
      </c>
      <c r="F162" s="22" t="e">
        <f>IF(#REF!&gt;=2,IFERROR(D162*_xlfn.SINGLE(_xlfn.XLOOKUP(B162,MA_ARTICULOS!$A:$A,MA_ARTICULOS!$E:$E,0)),""),"")</f>
        <v>#REF!</v>
      </c>
    </row>
    <row r="163" spans="1:6" x14ac:dyDescent="0.3">
      <c r="A163" s="11" t="e">
        <f>IF(#REF!&gt;=2,#REF!,"")</f>
        <v>#REF!</v>
      </c>
      <c r="B163" s="8">
        <v>11020006</v>
      </c>
      <c r="C163" s="8" t="s">
        <v>102</v>
      </c>
      <c r="D163" s="12" t="e">
        <f>IF(#REF!&gt;=2,IFERROR(MAX(0,#REF!)/IFERROR(_xlfn.SINGLE(_xlfn.XLOOKUP(B163,MA_ARTICULOS!$A:$A,MA_ARTICULOS!$E:$E,1)),1),0),"")</f>
        <v>#REF!</v>
      </c>
      <c r="E163" s="15" t="s">
        <v>65</v>
      </c>
      <c r="F163" s="22" t="e">
        <f>IF(#REF!&gt;=2,IFERROR(D163*_xlfn.SINGLE(_xlfn.XLOOKUP(B163,MA_ARTICULOS!$A:$A,MA_ARTICULOS!$E:$E,0)),""),"")</f>
        <v>#REF!</v>
      </c>
    </row>
    <row r="164" spans="1:6" x14ac:dyDescent="0.3">
      <c r="A164" s="11" t="e">
        <f>IF(#REF!&gt;=2,#REF!,"")</f>
        <v>#REF!</v>
      </c>
      <c r="B164" s="8">
        <v>11020007</v>
      </c>
      <c r="C164" s="8" t="s">
        <v>103</v>
      </c>
      <c r="D164" s="12" t="e">
        <f>IF(#REF!&gt;=2,IFERROR(MAX(0,#REF!)/IFERROR(_xlfn.SINGLE(_xlfn.XLOOKUP(B164,MA_ARTICULOS!$A:$A,MA_ARTICULOS!$E:$E,1)),1),0),"")</f>
        <v>#REF!</v>
      </c>
      <c r="E164" s="15" t="s">
        <v>65</v>
      </c>
      <c r="F164" s="22" t="e">
        <f>IF(#REF!&gt;=2,IFERROR(D164*_xlfn.SINGLE(_xlfn.XLOOKUP(B164,MA_ARTICULOS!$A:$A,MA_ARTICULOS!$E:$E,0)),""),"")</f>
        <v>#REF!</v>
      </c>
    </row>
    <row r="165" spans="1:6" x14ac:dyDescent="0.3">
      <c r="A165" s="11" t="e">
        <f>IF(#REF!&gt;=2,#REF!,"")</f>
        <v>#REF!</v>
      </c>
      <c r="B165" s="8">
        <v>11020008</v>
      </c>
      <c r="C165" s="8" t="s">
        <v>104</v>
      </c>
      <c r="D165" s="12" t="e">
        <f>IF(#REF!&gt;=2,IFERROR(MAX(0,#REF!)/IFERROR(_xlfn.SINGLE(_xlfn.XLOOKUP(B165,MA_ARTICULOS!$A:$A,MA_ARTICULOS!$E:$E,1)),1),0),"")</f>
        <v>#REF!</v>
      </c>
      <c r="E165" s="15" t="s">
        <v>65</v>
      </c>
      <c r="F165" s="22" t="e">
        <f>IF(#REF!&gt;=2,IFERROR(D165*_xlfn.SINGLE(_xlfn.XLOOKUP(B165,MA_ARTICULOS!$A:$A,MA_ARTICULOS!$E:$E,0)),""),"")</f>
        <v>#REF!</v>
      </c>
    </row>
    <row r="166" spans="1:6" x14ac:dyDescent="0.3">
      <c r="A166" s="11" t="e">
        <f>IF(#REF!&gt;=2,#REF!,"")</f>
        <v>#REF!</v>
      </c>
      <c r="B166" s="8">
        <v>11020009</v>
      </c>
      <c r="C166" s="8" t="s">
        <v>105</v>
      </c>
      <c r="D166" s="12" t="e">
        <f>IF(#REF!&gt;=2,IFERROR(MAX(0,#REF!)/IFERROR(_xlfn.SINGLE(_xlfn.XLOOKUP(B166,MA_ARTICULOS!$A:$A,MA_ARTICULOS!$E:$E,1)),1),0),"")</f>
        <v>#REF!</v>
      </c>
      <c r="E166" s="15" t="s">
        <v>65</v>
      </c>
      <c r="F166" s="22" t="e">
        <f>IF(#REF!&gt;=2,IFERROR(D166*_xlfn.SINGLE(_xlfn.XLOOKUP(B166,MA_ARTICULOS!$A:$A,MA_ARTICULOS!$E:$E,0)),""),"")</f>
        <v>#REF!</v>
      </c>
    </row>
    <row r="167" spans="1:6" x14ac:dyDescent="0.3">
      <c r="A167" s="11" t="e">
        <f>IF(#REF!&gt;=2,#REF!,"")</f>
        <v>#REF!</v>
      </c>
      <c r="B167" s="8">
        <v>11020010</v>
      </c>
      <c r="C167" s="8" t="s">
        <v>106</v>
      </c>
      <c r="D167" s="12" t="e">
        <f>IF(#REF!&gt;=2,IFERROR(MAX(0,#REF!)/IFERROR(_xlfn.SINGLE(_xlfn.XLOOKUP(B167,MA_ARTICULOS!$A:$A,MA_ARTICULOS!$E:$E,1)),1),0),"")</f>
        <v>#REF!</v>
      </c>
      <c r="E167" s="15" t="s">
        <v>65</v>
      </c>
      <c r="F167" s="22" t="e">
        <f>IF(#REF!&gt;=2,IFERROR(D167*_xlfn.SINGLE(_xlfn.XLOOKUP(B167,MA_ARTICULOS!$A:$A,MA_ARTICULOS!$E:$E,0)),""),"")</f>
        <v>#REF!</v>
      </c>
    </row>
    <row r="168" spans="1:6" x14ac:dyDescent="0.3">
      <c r="A168" s="11" t="e">
        <f>IF(#REF!&gt;=2,#REF!,"")</f>
        <v>#REF!</v>
      </c>
      <c r="B168" s="8">
        <v>11020014</v>
      </c>
      <c r="C168" s="8" t="s">
        <v>107</v>
      </c>
      <c r="D168" s="12" t="e">
        <f>IF(#REF!&gt;=2,IFERROR(MAX(0,#REF!)/IFERROR(_xlfn.SINGLE(_xlfn.XLOOKUP(B168,MA_ARTICULOS!$A:$A,MA_ARTICULOS!$E:$E,1)),1),0),"")</f>
        <v>#REF!</v>
      </c>
      <c r="E168" s="15" t="s">
        <v>65</v>
      </c>
      <c r="F168" s="22" t="e">
        <f>IF(#REF!&gt;=2,IFERROR(D168*_xlfn.SINGLE(_xlfn.XLOOKUP(B168,MA_ARTICULOS!$A:$A,MA_ARTICULOS!$E:$E,0)),""),"")</f>
        <v>#REF!</v>
      </c>
    </row>
    <row r="169" spans="1:6" x14ac:dyDescent="0.3">
      <c r="A169" s="11" t="e">
        <f>IF(#REF!&gt;=2,#REF!,"")</f>
        <v>#REF!</v>
      </c>
      <c r="B169" s="8">
        <v>11020015</v>
      </c>
      <c r="C169" s="8" t="s">
        <v>108</v>
      </c>
      <c r="D169" s="12" t="e">
        <f>IF(#REF!&gt;=2,IFERROR(MAX(0,#REF!)/IFERROR(_xlfn.SINGLE(_xlfn.XLOOKUP(B169,MA_ARTICULOS!$A:$A,MA_ARTICULOS!$E:$E,1)),1),0),"")</f>
        <v>#REF!</v>
      </c>
      <c r="E169" s="15" t="s">
        <v>65</v>
      </c>
      <c r="F169" s="22" t="e">
        <f>IF(#REF!&gt;=2,IFERROR(D169*_xlfn.SINGLE(_xlfn.XLOOKUP(B169,MA_ARTICULOS!$A:$A,MA_ARTICULOS!$E:$E,0)),""),"")</f>
        <v>#REF!</v>
      </c>
    </row>
    <row r="170" spans="1:6" x14ac:dyDescent="0.3">
      <c r="A170" s="11" t="e">
        <f>IF(#REF!&gt;=2,#REF!,"")</f>
        <v>#REF!</v>
      </c>
      <c r="B170" s="8">
        <v>11020016</v>
      </c>
      <c r="C170" s="8" t="s">
        <v>109</v>
      </c>
      <c r="D170" s="12" t="e">
        <f>IF(#REF!&gt;=2,IFERROR(MAX(0,#REF!)/IFERROR(_xlfn.SINGLE(_xlfn.XLOOKUP(B170,MA_ARTICULOS!$A:$A,MA_ARTICULOS!$E:$E,1)),1),0),"")</f>
        <v>#REF!</v>
      </c>
      <c r="E170" s="15" t="s">
        <v>65</v>
      </c>
      <c r="F170" s="22" t="e">
        <f>IF(#REF!&gt;=2,IFERROR(D170*_xlfn.SINGLE(_xlfn.XLOOKUP(B170,MA_ARTICULOS!$A:$A,MA_ARTICULOS!$E:$E,0)),""),"")</f>
        <v>#REF!</v>
      </c>
    </row>
    <row r="171" spans="1:6" x14ac:dyDescent="0.3">
      <c r="A171" s="11" t="e">
        <f>IF(#REF!&gt;=2,#REF!,"")</f>
        <v>#REF!</v>
      </c>
      <c r="B171" s="8">
        <v>12040001</v>
      </c>
      <c r="C171" s="8" t="s">
        <v>110</v>
      </c>
      <c r="D171" s="12" t="e">
        <f>IF(#REF!&gt;=2,IFERROR(MAX(0,#REF!)/IFERROR(_xlfn.SINGLE(_xlfn.XLOOKUP(B171,MA_ARTICULOS!$A:$A,MA_ARTICULOS!$E:$E,1)),1),0),"")</f>
        <v>#REF!</v>
      </c>
      <c r="E171" s="15" t="s">
        <v>65</v>
      </c>
      <c r="F171" s="22" t="e">
        <f>IF(#REF!&gt;=2,IFERROR(D171*_xlfn.SINGLE(_xlfn.XLOOKUP(B171,MA_ARTICULOS!$A:$A,MA_ARTICULOS!$E:$E,0)),""),"")</f>
        <v>#REF!</v>
      </c>
    </row>
    <row r="172" spans="1:6" x14ac:dyDescent="0.3">
      <c r="A172" s="11" t="e">
        <f>IF(#REF!&gt;=2,#REF!,"")</f>
        <v>#REF!</v>
      </c>
      <c r="B172" s="8">
        <v>12040002</v>
      </c>
      <c r="C172" s="8" t="s">
        <v>111</v>
      </c>
      <c r="D172" s="12" t="e">
        <f>IF(#REF!&gt;=2,IFERROR(MAX(0,#REF!)/IFERROR(_xlfn.SINGLE(_xlfn.XLOOKUP(B172,MA_ARTICULOS!$A:$A,MA_ARTICULOS!$E:$E,1)),1),0),"")</f>
        <v>#REF!</v>
      </c>
      <c r="E172" s="15" t="s">
        <v>65</v>
      </c>
      <c r="F172" s="22" t="e">
        <f>IF(#REF!&gt;=2,IFERROR(D172*_xlfn.SINGLE(_xlfn.XLOOKUP(B172,MA_ARTICULOS!$A:$A,MA_ARTICULOS!$E:$E,0)),""),"")</f>
        <v>#REF!</v>
      </c>
    </row>
    <row r="173" spans="1:6" x14ac:dyDescent="0.3">
      <c r="A173" s="11" t="e">
        <f>IF(#REF!&gt;=2,#REF!,"")</f>
        <v>#REF!</v>
      </c>
      <c r="B173" s="8">
        <v>12080001</v>
      </c>
      <c r="C173" s="8" t="s">
        <v>112</v>
      </c>
      <c r="D173" s="12" t="e">
        <f>IF(#REF!&gt;=2,IFERROR(MAX(0,#REF!)/IFERROR(_xlfn.SINGLE(_xlfn.XLOOKUP(B173,MA_ARTICULOS!$A:$A,MA_ARTICULOS!$E:$E,1)),1),0),"")</f>
        <v>#REF!</v>
      </c>
      <c r="E173" s="15" t="s">
        <v>65</v>
      </c>
      <c r="F173" s="22" t="e">
        <f>IF(#REF!&gt;=2,IFERROR(D173*_xlfn.SINGLE(_xlfn.XLOOKUP(B173,MA_ARTICULOS!$A:$A,MA_ARTICULOS!$E:$E,0)),""),"")</f>
        <v>#REF!</v>
      </c>
    </row>
    <row r="174" spans="1:6" x14ac:dyDescent="0.3">
      <c r="A174" s="11" t="e">
        <f>IF(#REF!&gt;=2,#REF!,"")</f>
        <v>#REF!</v>
      </c>
      <c r="B174" s="8">
        <v>12080002</v>
      </c>
      <c r="C174" s="8" t="s">
        <v>113</v>
      </c>
      <c r="D174" s="12" t="e">
        <f>IF(#REF!&gt;=2,IFERROR(MAX(0,#REF!)/IFERROR(_xlfn.SINGLE(_xlfn.XLOOKUP(B174,MA_ARTICULOS!$A:$A,MA_ARTICULOS!$E:$E,1)),1),0),"")</f>
        <v>#REF!</v>
      </c>
      <c r="E174" s="15" t="s">
        <v>65</v>
      </c>
      <c r="F174" s="22" t="e">
        <f>IF(#REF!&gt;=2,IFERROR(D174*_xlfn.SINGLE(_xlfn.XLOOKUP(B174,MA_ARTICULOS!$A:$A,MA_ARTICULOS!$E:$E,0)),""),"")</f>
        <v>#REF!</v>
      </c>
    </row>
    <row r="175" spans="1:6" x14ac:dyDescent="0.3">
      <c r="A175" s="11" t="e">
        <f>IF(#REF!&gt;=2,#REF!,"")</f>
        <v>#REF!</v>
      </c>
      <c r="B175" s="8">
        <v>12080003</v>
      </c>
      <c r="C175" s="8" t="s">
        <v>114</v>
      </c>
      <c r="D175" s="12" t="e">
        <f>IF(#REF!&gt;=2,IFERROR(MAX(0,#REF!)/IFERROR(_xlfn.SINGLE(_xlfn.XLOOKUP(B175,MA_ARTICULOS!$A:$A,MA_ARTICULOS!$E:$E,1)),1),0),"")</f>
        <v>#REF!</v>
      </c>
      <c r="E175" s="15" t="s">
        <v>65</v>
      </c>
      <c r="F175" s="22" t="e">
        <f>IF(#REF!&gt;=2,IFERROR(D175*_xlfn.SINGLE(_xlfn.XLOOKUP(B175,MA_ARTICULOS!$A:$A,MA_ARTICULOS!$E:$E,0)),""),"")</f>
        <v>#REF!</v>
      </c>
    </row>
    <row r="176" spans="1:6" x14ac:dyDescent="0.3">
      <c r="A176" s="11" t="e">
        <f>IF(#REF!&gt;=2,#REF!,"")</f>
        <v>#REF!</v>
      </c>
      <c r="B176" s="8">
        <v>13010007</v>
      </c>
      <c r="C176" s="8" t="s">
        <v>115</v>
      </c>
      <c r="D176" s="12" t="e">
        <f>IF(#REF!&gt;=2,IFERROR(MAX(0,#REF!)/IFERROR(_xlfn.SINGLE(_xlfn.XLOOKUP(B176,MA_ARTICULOS!$A:$A,MA_ARTICULOS!$E:$E,1)),1),0),"")</f>
        <v>#REF!</v>
      </c>
      <c r="E176" s="15" t="s">
        <v>65</v>
      </c>
      <c r="F176" s="22" t="e">
        <f>IF(#REF!&gt;=2,IFERROR(D176*_xlfn.SINGLE(_xlfn.XLOOKUP(B176,MA_ARTICULOS!$A:$A,MA_ARTICULOS!$E:$E,0)),""),"")</f>
        <v>#REF!</v>
      </c>
    </row>
    <row r="177" spans="1:6" x14ac:dyDescent="0.3">
      <c r="A177" s="11" t="e">
        <f>IF(#REF!&gt;=2,#REF!,"")</f>
        <v>#REF!</v>
      </c>
      <c r="B177" s="8">
        <v>13010008</v>
      </c>
      <c r="C177" s="8" t="s">
        <v>116</v>
      </c>
      <c r="D177" s="12" t="e">
        <f>IF(#REF!&gt;=2,IFERROR(MAX(0,#REF!)/IFERROR(_xlfn.SINGLE(_xlfn.XLOOKUP(B177,MA_ARTICULOS!$A:$A,MA_ARTICULOS!$E:$E,1)),1),0),"")</f>
        <v>#REF!</v>
      </c>
      <c r="E177" s="15" t="s">
        <v>65</v>
      </c>
      <c r="F177" s="22" t="e">
        <f>IF(#REF!&gt;=2,IFERROR(D177*_xlfn.SINGLE(_xlfn.XLOOKUP(B177,MA_ARTICULOS!$A:$A,MA_ARTICULOS!$E:$E,0)),""),"")</f>
        <v>#REF!</v>
      </c>
    </row>
    <row r="178" spans="1:6" x14ac:dyDescent="0.3">
      <c r="A178" s="11" t="e">
        <f>IF(#REF!&gt;=2,#REF!,"")</f>
        <v>#REF!</v>
      </c>
      <c r="B178" s="8">
        <v>13019001</v>
      </c>
      <c r="C178" s="8" t="s">
        <v>117</v>
      </c>
      <c r="D178" s="12" t="e">
        <f>IF(#REF!&gt;=2,IFERROR(MAX(0,#REF!)/IFERROR(_xlfn.SINGLE(_xlfn.XLOOKUP(B178,MA_ARTICULOS!$A:$A,MA_ARTICULOS!$E:$E,1)),1),0),"")</f>
        <v>#REF!</v>
      </c>
      <c r="E178" s="15" t="s">
        <v>65</v>
      </c>
      <c r="F178" s="22" t="e">
        <f>IF(#REF!&gt;=2,IFERROR(D178*_xlfn.SINGLE(_xlfn.XLOOKUP(B178,MA_ARTICULOS!$A:$A,MA_ARTICULOS!$E:$E,0)),""),"")</f>
        <v>#REF!</v>
      </c>
    </row>
    <row r="179" spans="1:6" x14ac:dyDescent="0.3">
      <c r="A179" s="11" t="e">
        <f>IF(#REF!&gt;=2,#REF!,"")</f>
        <v>#REF!</v>
      </c>
      <c r="B179" s="8">
        <v>13019002</v>
      </c>
      <c r="C179" s="8" t="s">
        <v>118</v>
      </c>
      <c r="D179" s="12" t="e">
        <f>IF(#REF!&gt;=2,IFERROR(MAX(0,#REF!)/IFERROR(_xlfn.SINGLE(_xlfn.XLOOKUP(B179,MA_ARTICULOS!$A:$A,MA_ARTICULOS!$E:$E,1)),1),0),"")</f>
        <v>#REF!</v>
      </c>
      <c r="E179" s="15" t="s">
        <v>65</v>
      </c>
      <c r="F179" s="22" t="e">
        <f>IF(#REF!&gt;=2,IFERROR(D179*_xlfn.SINGLE(_xlfn.XLOOKUP(B179,MA_ARTICULOS!$A:$A,MA_ARTICULOS!$E:$E,0)),""),"")</f>
        <v>#REF!</v>
      </c>
    </row>
    <row r="180" spans="1:6" x14ac:dyDescent="0.3">
      <c r="A180" s="11" t="e">
        <f>IF(#REF!&gt;=2,#REF!,"")</f>
        <v>#REF!</v>
      </c>
      <c r="B180" s="8">
        <v>13019003</v>
      </c>
      <c r="C180" s="8" t="s">
        <v>119</v>
      </c>
      <c r="D180" s="12" t="e">
        <f>IF(#REF!&gt;=2,IFERROR(MAX(0,#REF!)/IFERROR(_xlfn.SINGLE(_xlfn.XLOOKUP(B180,MA_ARTICULOS!$A:$A,MA_ARTICULOS!$E:$E,1)),1),0),"")</f>
        <v>#REF!</v>
      </c>
      <c r="E180" s="15" t="s">
        <v>65</v>
      </c>
      <c r="F180" s="22" t="e">
        <f>IF(#REF!&gt;=2,IFERROR(D180*_xlfn.SINGLE(_xlfn.XLOOKUP(B180,MA_ARTICULOS!$A:$A,MA_ARTICULOS!$E:$E,0)),""),"")</f>
        <v>#REF!</v>
      </c>
    </row>
    <row r="181" spans="1:6" x14ac:dyDescent="0.3">
      <c r="A181" s="11" t="e">
        <f>IF(#REF!&gt;=2,#REF!,"")</f>
        <v>#REF!</v>
      </c>
      <c r="B181" s="8">
        <v>13019004</v>
      </c>
      <c r="C181" s="8" t="s">
        <v>120</v>
      </c>
      <c r="D181" s="12" t="e">
        <f>IF(#REF!&gt;=2,IFERROR(MAX(0,#REF!)/IFERROR(_xlfn.SINGLE(_xlfn.XLOOKUP(B181,MA_ARTICULOS!$A:$A,MA_ARTICULOS!$E:$E,1)),1),0),"")</f>
        <v>#REF!</v>
      </c>
      <c r="E181" s="15" t="s">
        <v>65</v>
      </c>
      <c r="F181" s="22" t="e">
        <f>IF(#REF!&gt;=2,IFERROR(D181*_xlfn.SINGLE(_xlfn.XLOOKUP(B181,MA_ARTICULOS!$A:$A,MA_ARTICULOS!$E:$E,0)),""),"")</f>
        <v>#REF!</v>
      </c>
    </row>
    <row r="182" spans="1:6" x14ac:dyDescent="0.3">
      <c r="A182" s="11" t="e">
        <f>IF(#REF!&gt;=2,#REF!,"")</f>
        <v>#REF!</v>
      </c>
      <c r="B182" s="8">
        <v>13019005</v>
      </c>
      <c r="C182" s="8" t="s">
        <v>121</v>
      </c>
      <c r="D182" s="12" t="e">
        <f>IF(#REF!&gt;=2,IFERROR(MAX(0,#REF!)/IFERROR(_xlfn.SINGLE(_xlfn.XLOOKUP(B182,MA_ARTICULOS!$A:$A,MA_ARTICULOS!$E:$E,1)),1),0),"")</f>
        <v>#REF!</v>
      </c>
      <c r="E182" s="15" t="s">
        <v>65</v>
      </c>
      <c r="F182" s="22" t="e">
        <f>IF(#REF!&gt;=2,IFERROR(D182*_xlfn.SINGLE(_xlfn.XLOOKUP(B182,MA_ARTICULOS!$A:$A,MA_ARTICULOS!$E:$E,0)),""),"")</f>
        <v>#REF!</v>
      </c>
    </row>
    <row r="183" spans="1:6" x14ac:dyDescent="0.3">
      <c r="A183" s="11" t="e">
        <f>IF(#REF!&gt;=2,#REF!,"")</f>
        <v>#REF!</v>
      </c>
      <c r="B183" s="8">
        <v>13019007</v>
      </c>
      <c r="C183" s="8" t="s">
        <v>122</v>
      </c>
      <c r="D183" s="12" t="e">
        <f>IF(#REF!&gt;=2,IFERROR(MAX(0,#REF!)/IFERROR(_xlfn.SINGLE(_xlfn.XLOOKUP(B183,MA_ARTICULOS!$A:$A,MA_ARTICULOS!$E:$E,1)),1),0),"")</f>
        <v>#REF!</v>
      </c>
      <c r="E183" s="15" t="s">
        <v>65</v>
      </c>
      <c r="F183" s="22" t="e">
        <f>IF(#REF!&gt;=2,IFERROR(D183*_xlfn.SINGLE(_xlfn.XLOOKUP(B183,MA_ARTICULOS!$A:$A,MA_ARTICULOS!$E:$E,0)),""),"")</f>
        <v>#REF!</v>
      </c>
    </row>
    <row r="184" spans="1:6" x14ac:dyDescent="0.3">
      <c r="A184" s="11" t="e">
        <f>IF(#REF!&gt;=2,#REF!,"")</f>
        <v>#REF!</v>
      </c>
      <c r="B184" s="8">
        <v>13019008</v>
      </c>
      <c r="C184" s="8" t="s">
        <v>123</v>
      </c>
      <c r="D184" s="12" t="e">
        <f>IF(#REF!&gt;=2,IFERROR(MAX(0,#REF!)/IFERROR(_xlfn.SINGLE(_xlfn.XLOOKUP(B184,MA_ARTICULOS!$A:$A,MA_ARTICULOS!$E:$E,1)),1),0),"")</f>
        <v>#REF!</v>
      </c>
      <c r="E184" s="15" t="s">
        <v>65</v>
      </c>
      <c r="F184" s="22" t="e">
        <f>IF(#REF!&gt;=2,IFERROR(D184*_xlfn.SINGLE(_xlfn.XLOOKUP(B184,MA_ARTICULOS!$A:$A,MA_ARTICULOS!$E:$E,0)),""),"")</f>
        <v>#REF!</v>
      </c>
    </row>
    <row r="185" spans="1:6" x14ac:dyDescent="0.3">
      <c r="A185" s="11" t="e">
        <f>IF(#REF!&gt;=2,#REF!,"")</f>
        <v>#REF!</v>
      </c>
      <c r="B185" s="8">
        <v>13020004</v>
      </c>
      <c r="C185" s="8" t="s">
        <v>124</v>
      </c>
      <c r="D185" s="12" t="e">
        <f>IF(#REF!&gt;=2,IFERROR(MAX(0,#REF!)/IFERROR(_xlfn.SINGLE(_xlfn.XLOOKUP(B185,MA_ARTICULOS!$A:$A,MA_ARTICULOS!$E:$E,1)),1),0),"")</f>
        <v>#REF!</v>
      </c>
      <c r="E185" s="15" t="s">
        <v>65</v>
      </c>
      <c r="F185" s="22" t="e">
        <f>IF(#REF!&gt;=2,IFERROR(D185*_xlfn.SINGLE(_xlfn.XLOOKUP(B185,MA_ARTICULOS!$A:$A,MA_ARTICULOS!$E:$E,0)),""),"")</f>
        <v>#REF!</v>
      </c>
    </row>
    <row r="186" spans="1:6" x14ac:dyDescent="0.3">
      <c r="A186" s="11" t="e">
        <f>IF(#REF!&gt;=2,#REF!,"")</f>
        <v>#REF!</v>
      </c>
      <c r="B186" s="8">
        <v>13020005</v>
      </c>
      <c r="C186" s="8" t="s">
        <v>125</v>
      </c>
      <c r="D186" s="12" t="e">
        <f>IF(#REF!&gt;=2,IFERROR(MAX(0,#REF!)/IFERROR(_xlfn.SINGLE(_xlfn.XLOOKUP(B186,MA_ARTICULOS!$A:$A,MA_ARTICULOS!$E:$E,1)),1),0),"")</f>
        <v>#REF!</v>
      </c>
      <c r="E186" s="15" t="s">
        <v>65</v>
      </c>
      <c r="F186" s="22" t="e">
        <f>IF(#REF!&gt;=2,IFERROR(D186*_xlfn.SINGLE(_xlfn.XLOOKUP(B186,MA_ARTICULOS!$A:$A,MA_ARTICULOS!$E:$E,0)),""),"")</f>
        <v>#REF!</v>
      </c>
    </row>
    <row r="187" spans="1:6" x14ac:dyDescent="0.3">
      <c r="A187" s="11" t="e">
        <f>IF(#REF!&gt;=2,#REF!,"")</f>
        <v>#REF!</v>
      </c>
      <c r="B187" s="8">
        <v>13040001</v>
      </c>
      <c r="C187" s="8" t="s">
        <v>126</v>
      </c>
      <c r="D187" s="12" t="e">
        <f>IF(#REF!&gt;=2,IFERROR(MAX(0,#REF!)/IFERROR(_xlfn.SINGLE(_xlfn.XLOOKUP(B187,MA_ARTICULOS!$A:$A,MA_ARTICULOS!$E:$E,1)),1),0),"")</f>
        <v>#REF!</v>
      </c>
      <c r="E187" s="15" t="s">
        <v>65</v>
      </c>
      <c r="F187" s="22" t="e">
        <f>IF(#REF!&gt;=2,IFERROR(D187*_xlfn.SINGLE(_xlfn.XLOOKUP(B187,MA_ARTICULOS!$A:$A,MA_ARTICULOS!$E:$E,0)),""),"")</f>
        <v>#REF!</v>
      </c>
    </row>
    <row r="188" spans="1:6" x14ac:dyDescent="0.3">
      <c r="A188" s="11" t="e">
        <f>IF(#REF!&gt;=2,#REF!,"")</f>
        <v>#REF!</v>
      </c>
      <c r="B188" s="8">
        <v>13040002</v>
      </c>
      <c r="C188" s="8" t="s">
        <v>127</v>
      </c>
      <c r="D188" s="12" t="e">
        <f>IF(#REF!&gt;=2,IFERROR(MAX(0,#REF!)/IFERROR(_xlfn.SINGLE(_xlfn.XLOOKUP(B188,MA_ARTICULOS!$A:$A,MA_ARTICULOS!$E:$E,1)),1),0),"")</f>
        <v>#REF!</v>
      </c>
      <c r="E188" s="15" t="s">
        <v>65</v>
      </c>
      <c r="F188" s="22" t="e">
        <f>IF(#REF!&gt;=2,IFERROR(D188*_xlfn.SINGLE(_xlfn.XLOOKUP(B188,MA_ARTICULOS!$A:$A,MA_ARTICULOS!$E:$E,0)),""),"")</f>
        <v>#REF!</v>
      </c>
    </row>
    <row r="189" spans="1:6" x14ac:dyDescent="0.3">
      <c r="A189" s="11" t="e">
        <f>IF(#REF!&gt;=2,#REF!,"")</f>
        <v>#REF!</v>
      </c>
      <c r="B189" s="8">
        <v>13040003</v>
      </c>
      <c r="C189" s="8" t="s">
        <v>128</v>
      </c>
      <c r="D189" s="12" t="e">
        <f>IF(#REF!&gt;=2,IFERROR(MAX(0,#REF!)/IFERROR(_xlfn.SINGLE(_xlfn.XLOOKUP(B189,MA_ARTICULOS!$A:$A,MA_ARTICULOS!$E:$E,1)),1),0),"")</f>
        <v>#REF!</v>
      </c>
      <c r="E189" s="15" t="s">
        <v>65</v>
      </c>
      <c r="F189" s="22" t="e">
        <f>IF(#REF!&gt;=2,IFERROR(D189*_xlfn.SINGLE(_xlfn.XLOOKUP(B189,MA_ARTICULOS!$A:$A,MA_ARTICULOS!$E:$E,0)),""),"")</f>
        <v>#REF!</v>
      </c>
    </row>
    <row r="190" spans="1:6" x14ac:dyDescent="0.3">
      <c r="A190" s="11" t="e">
        <f>IF(#REF!&gt;=2,#REF!,"")</f>
        <v>#REF!</v>
      </c>
      <c r="B190" s="8">
        <v>13040004</v>
      </c>
      <c r="C190" s="8" t="s">
        <v>129</v>
      </c>
      <c r="D190" s="12" t="e">
        <f>IF(#REF!&gt;=2,IFERROR(MAX(0,#REF!)/IFERROR(_xlfn.SINGLE(_xlfn.XLOOKUP(B190,MA_ARTICULOS!$A:$A,MA_ARTICULOS!$E:$E,1)),1),0),"")</f>
        <v>#REF!</v>
      </c>
      <c r="E190" s="15" t="s">
        <v>65</v>
      </c>
      <c r="F190" s="22" t="e">
        <f>IF(#REF!&gt;=2,IFERROR(D190*_xlfn.SINGLE(_xlfn.XLOOKUP(B190,MA_ARTICULOS!$A:$A,MA_ARTICULOS!$E:$E,0)),""),"")</f>
        <v>#REF!</v>
      </c>
    </row>
    <row r="191" spans="1:6" x14ac:dyDescent="0.3">
      <c r="A191" s="11" t="e">
        <f>IF(#REF!&gt;=2,#REF!,"")</f>
        <v>#REF!</v>
      </c>
      <c r="B191" s="8">
        <v>13040005</v>
      </c>
      <c r="C191" s="8" t="s">
        <v>130</v>
      </c>
      <c r="D191" s="12" t="e">
        <f>IF(#REF!&gt;=2,IFERROR(MAX(0,#REF!)/IFERROR(_xlfn.SINGLE(_xlfn.XLOOKUP(B191,MA_ARTICULOS!$A:$A,MA_ARTICULOS!$E:$E,1)),1),0),"")</f>
        <v>#REF!</v>
      </c>
      <c r="E191" s="15" t="s">
        <v>65</v>
      </c>
      <c r="F191" s="22" t="e">
        <f>IF(#REF!&gt;=2,IFERROR(D191*_xlfn.SINGLE(_xlfn.XLOOKUP(B191,MA_ARTICULOS!$A:$A,MA_ARTICULOS!$E:$E,0)),""),"")</f>
        <v>#REF!</v>
      </c>
    </row>
    <row r="192" spans="1:6" x14ac:dyDescent="0.3">
      <c r="A192" s="11" t="e">
        <f>IF(#REF!&gt;=2,#REF!,"")</f>
        <v>#REF!</v>
      </c>
      <c r="B192" s="8">
        <v>13040006</v>
      </c>
      <c r="C192" s="8" t="s">
        <v>131</v>
      </c>
      <c r="D192" s="12" t="e">
        <f>IF(#REF!&gt;=2,IFERROR(MAX(0,#REF!)/IFERROR(_xlfn.SINGLE(_xlfn.XLOOKUP(B192,MA_ARTICULOS!$A:$A,MA_ARTICULOS!$E:$E,1)),1),0),"")</f>
        <v>#REF!</v>
      </c>
      <c r="E192" s="15" t="s">
        <v>65</v>
      </c>
      <c r="F192" s="22" t="e">
        <f>IF(#REF!&gt;=2,IFERROR(D192*_xlfn.SINGLE(_xlfn.XLOOKUP(B192,MA_ARTICULOS!$A:$A,MA_ARTICULOS!$E:$E,0)),""),"")</f>
        <v>#REF!</v>
      </c>
    </row>
    <row r="193" spans="1:6" x14ac:dyDescent="0.3">
      <c r="A193" s="11" t="e">
        <f>IF(#REF!&gt;=2,#REF!,"")</f>
        <v>#REF!</v>
      </c>
      <c r="B193" s="8">
        <v>13040007</v>
      </c>
      <c r="C193" s="8" t="s">
        <v>132</v>
      </c>
      <c r="D193" s="12" t="e">
        <f>IF(#REF!&gt;=2,IFERROR(MAX(0,#REF!)/IFERROR(_xlfn.SINGLE(_xlfn.XLOOKUP(B193,MA_ARTICULOS!$A:$A,MA_ARTICULOS!$E:$E,1)),1),0),"")</f>
        <v>#REF!</v>
      </c>
      <c r="E193" s="15" t="s">
        <v>65</v>
      </c>
      <c r="F193" s="22" t="e">
        <f>IF(#REF!&gt;=2,IFERROR(D193*_xlfn.SINGLE(_xlfn.XLOOKUP(B193,MA_ARTICULOS!$A:$A,MA_ARTICULOS!$E:$E,0)),""),"")</f>
        <v>#REF!</v>
      </c>
    </row>
    <row r="194" spans="1:6" x14ac:dyDescent="0.3">
      <c r="A194" s="11" t="e">
        <f>IF(#REF!&gt;=2,#REF!,"")</f>
        <v>#REF!</v>
      </c>
      <c r="B194" s="8">
        <v>13040008</v>
      </c>
      <c r="C194" s="8" t="s">
        <v>133</v>
      </c>
      <c r="D194" s="12" t="e">
        <f>IF(#REF!&gt;=2,IFERROR(MAX(0,#REF!)/IFERROR(_xlfn.SINGLE(_xlfn.XLOOKUP(B194,MA_ARTICULOS!$A:$A,MA_ARTICULOS!$E:$E,1)),1),0),"")</f>
        <v>#REF!</v>
      </c>
      <c r="E194" s="15" t="s">
        <v>65</v>
      </c>
      <c r="F194" s="22" t="e">
        <f>IF(#REF!&gt;=2,IFERROR(D194*_xlfn.SINGLE(_xlfn.XLOOKUP(B194,MA_ARTICULOS!$A:$A,MA_ARTICULOS!$E:$E,0)),""),"")</f>
        <v>#REF!</v>
      </c>
    </row>
    <row r="195" spans="1:6" x14ac:dyDescent="0.3">
      <c r="A195" s="11" t="e">
        <f>IF(#REF!&gt;=2,#REF!,"")</f>
        <v>#REF!</v>
      </c>
      <c r="B195" s="8">
        <v>13040009</v>
      </c>
      <c r="C195" s="8" t="s">
        <v>134</v>
      </c>
      <c r="D195" s="12" t="e">
        <f>IF(#REF!&gt;=2,IFERROR(MAX(0,#REF!)/IFERROR(_xlfn.SINGLE(_xlfn.XLOOKUP(B195,MA_ARTICULOS!$A:$A,MA_ARTICULOS!$E:$E,1)),1),0),"")</f>
        <v>#REF!</v>
      </c>
      <c r="E195" s="15" t="s">
        <v>65</v>
      </c>
      <c r="F195" s="22" t="e">
        <f>IF(#REF!&gt;=2,IFERROR(D195*_xlfn.SINGLE(_xlfn.XLOOKUP(B195,MA_ARTICULOS!$A:$A,MA_ARTICULOS!$E:$E,0)),""),"")</f>
        <v>#REF!</v>
      </c>
    </row>
    <row r="196" spans="1:6" x14ac:dyDescent="0.3">
      <c r="A196" s="11" t="e">
        <f>IF(#REF!&gt;=2,#REF!,"")</f>
        <v>#REF!</v>
      </c>
      <c r="B196" s="8">
        <v>13040010</v>
      </c>
      <c r="C196" s="8" t="s">
        <v>135</v>
      </c>
      <c r="D196" s="12" t="e">
        <f>IF(#REF!&gt;=2,IFERROR(MAX(0,#REF!)/IFERROR(_xlfn.SINGLE(_xlfn.XLOOKUP(B196,MA_ARTICULOS!$A:$A,MA_ARTICULOS!$E:$E,1)),1),0),"")</f>
        <v>#REF!</v>
      </c>
      <c r="E196" s="15" t="s">
        <v>65</v>
      </c>
      <c r="F196" s="22" t="e">
        <f>IF(#REF!&gt;=2,IFERROR(D196*_xlfn.SINGLE(_xlfn.XLOOKUP(B196,MA_ARTICULOS!$A:$A,MA_ARTICULOS!$E:$E,0)),""),"")</f>
        <v>#REF!</v>
      </c>
    </row>
    <row r="197" spans="1:6" x14ac:dyDescent="0.3">
      <c r="A197" s="11" t="e">
        <f>IF(#REF!&gt;=2,#REF!,"")</f>
        <v>#REF!</v>
      </c>
      <c r="B197" s="8">
        <v>13040011</v>
      </c>
      <c r="C197" s="8" t="s">
        <v>136</v>
      </c>
      <c r="D197" s="12" t="e">
        <f>IF(#REF!&gt;=2,IFERROR(MAX(0,#REF!)/IFERROR(_xlfn.SINGLE(_xlfn.XLOOKUP(B197,MA_ARTICULOS!$A:$A,MA_ARTICULOS!$E:$E,1)),1),0),"")</f>
        <v>#REF!</v>
      </c>
      <c r="E197" s="15" t="s">
        <v>65</v>
      </c>
      <c r="F197" s="22" t="e">
        <f>IF(#REF!&gt;=2,IFERROR(D197*_xlfn.SINGLE(_xlfn.XLOOKUP(B197,MA_ARTICULOS!$A:$A,MA_ARTICULOS!$E:$E,0)),""),"")</f>
        <v>#REF!</v>
      </c>
    </row>
    <row r="198" spans="1:6" x14ac:dyDescent="0.3">
      <c r="A198" s="11" t="e">
        <f>IF(#REF!&gt;=2,#REF!,"")</f>
        <v>#REF!</v>
      </c>
      <c r="B198" s="8">
        <v>13040012</v>
      </c>
      <c r="C198" s="8" t="s">
        <v>137</v>
      </c>
      <c r="D198" s="12" t="e">
        <f>IF(#REF!&gt;=2,IFERROR(MAX(0,#REF!)/IFERROR(_xlfn.SINGLE(_xlfn.XLOOKUP(B198,MA_ARTICULOS!$A:$A,MA_ARTICULOS!$E:$E,1)),1),0),"")</f>
        <v>#REF!</v>
      </c>
      <c r="E198" s="15" t="s">
        <v>65</v>
      </c>
      <c r="F198" s="22" t="e">
        <f>IF(#REF!&gt;=2,IFERROR(D198*_xlfn.SINGLE(_xlfn.XLOOKUP(B198,MA_ARTICULOS!$A:$A,MA_ARTICULOS!$E:$E,0)),""),"")</f>
        <v>#REF!</v>
      </c>
    </row>
    <row r="199" spans="1:6" x14ac:dyDescent="0.3">
      <c r="A199" s="11" t="e">
        <f>IF(#REF!&gt;=2,#REF!,"")</f>
        <v>#REF!</v>
      </c>
      <c r="B199" s="8">
        <v>13040013</v>
      </c>
      <c r="C199" s="8" t="s">
        <v>138</v>
      </c>
      <c r="D199" s="12" t="e">
        <f>IF(#REF!&gt;=2,IFERROR(MAX(0,#REF!)/IFERROR(_xlfn.SINGLE(_xlfn.XLOOKUP(B199,MA_ARTICULOS!$A:$A,MA_ARTICULOS!$E:$E,1)),1),0),"")</f>
        <v>#REF!</v>
      </c>
      <c r="E199" s="15" t="s">
        <v>65</v>
      </c>
      <c r="F199" s="22" t="e">
        <f>IF(#REF!&gt;=2,IFERROR(D199*_xlfn.SINGLE(_xlfn.XLOOKUP(B199,MA_ARTICULOS!$A:$A,MA_ARTICULOS!$E:$E,0)),""),"")</f>
        <v>#REF!</v>
      </c>
    </row>
    <row r="200" spans="1:6" x14ac:dyDescent="0.3">
      <c r="A200" s="11" t="e">
        <f>IF(#REF!&gt;=2,#REF!,"")</f>
        <v>#REF!</v>
      </c>
      <c r="B200" s="8">
        <v>13040014</v>
      </c>
      <c r="C200" s="8" t="s">
        <v>139</v>
      </c>
      <c r="D200" s="12" t="e">
        <f>IF(#REF!&gt;=2,IFERROR(MAX(0,#REF!)/IFERROR(_xlfn.SINGLE(_xlfn.XLOOKUP(B200,MA_ARTICULOS!$A:$A,MA_ARTICULOS!$E:$E,1)),1),0),"")</f>
        <v>#REF!</v>
      </c>
      <c r="E200" s="15" t="s">
        <v>65</v>
      </c>
      <c r="F200" s="22" t="e">
        <f>IF(#REF!&gt;=2,IFERROR(D200*_xlfn.SINGLE(_xlfn.XLOOKUP(B200,MA_ARTICULOS!$A:$A,MA_ARTICULOS!$E:$E,0)),""),"")</f>
        <v>#REF!</v>
      </c>
    </row>
    <row r="201" spans="1:6" x14ac:dyDescent="0.3">
      <c r="A201" s="11" t="e">
        <f>IF(#REF!&gt;=2,#REF!,"")</f>
        <v>#REF!</v>
      </c>
      <c r="B201" s="8">
        <v>13040015</v>
      </c>
      <c r="C201" s="8" t="s">
        <v>140</v>
      </c>
      <c r="D201" s="12" t="e">
        <f>IF(#REF!&gt;=2,IFERROR(MAX(0,#REF!)/IFERROR(_xlfn.SINGLE(_xlfn.XLOOKUP(B201,MA_ARTICULOS!$A:$A,MA_ARTICULOS!$E:$E,1)),1),0),"")</f>
        <v>#REF!</v>
      </c>
      <c r="E201" s="15" t="s">
        <v>65</v>
      </c>
      <c r="F201" s="22" t="e">
        <f>IF(#REF!&gt;=2,IFERROR(D201*_xlfn.SINGLE(_xlfn.XLOOKUP(B201,MA_ARTICULOS!$A:$A,MA_ARTICULOS!$E:$E,0)),""),"")</f>
        <v>#REF!</v>
      </c>
    </row>
    <row r="202" spans="1:6" x14ac:dyDescent="0.3">
      <c r="A202" s="11" t="e">
        <f>IF(#REF!&gt;=2,#REF!,"")</f>
        <v>#REF!</v>
      </c>
      <c r="B202" s="8">
        <v>13040016</v>
      </c>
      <c r="C202" s="8" t="s">
        <v>141</v>
      </c>
      <c r="D202" s="12" t="e">
        <f>IF(#REF!&gt;=2,IFERROR(MAX(0,#REF!)/IFERROR(_xlfn.SINGLE(_xlfn.XLOOKUP(B202,MA_ARTICULOS!$A:$A,MA_ARTICULOS!$E:$E,1)),1),0),"")</f>
        <v>#REF!</v>
      </c>
      <c r="E202" s="15" t="s">
        <v>65</v>
      </c>
      <c r="F202" s="22" t="e">
        <f>IF(#REF!&gt;=2,IFERROR(D202*_xlfn.SINGLE(_xlfn.XLOOKUP(B202,MA_ARTICULOS!$A:$A,MA_ARTICULOS!$E:$E,0)),""),"")</f>
        <v>#REF!</v>
      </c>
    </row>
    <row r="203" spans="1:6" x14ac:dyDescent="0.3">
      <c r="A203" s="11" t="e">
        <f>IF(#REF!&gt;=2,#REF!,"")</f>
        <v>#REF!</v>
      </c>
      <c r="B203" s="8">
        <v>13040017</v>
      </c>
      <c r="C203" s="8" t="s">
        <v>142</v>
      </c>
      <c r="D203" s="12" t="e">
        <f>IF(#REF!&gt;=2,IFERROR(MAX(0,#REF!)/IFERROR(_xlfn.SINGLE(_xlfn.XLOOKUP(B203,MA_ARTICULOS!$A:$A,MA_ARTICULOS!$E:$E,1)),1),0),"")</f>
        <v>#REF!</v>
      </c>
      <c r="E203" s="15" t="s">
        <v>65</v>
      </c>
      <c r="F203" s="22" t="e">
        <f>IF(#REF!&gt;=2,IFERROR(D203*_xlfn.SINGLE(_xlfn.XLOOKUP(B203,MA_ARTICULOS!$A:$A,MA_ARTICULOS!$E:$E,0)),""),"")</f>
        <v>#REF!</v>
      </c>
    </row>
    <row r="204" spans="1:6" x14ac:dyDescent="0.3">
      <c r="A204" s="11" t="e">
        <f>IF(#REF!&gt;=2,#REF!,"")</f>
        <v>#REF!</v>
      </c>
      <c r="B204" s="8">
        <v>13040018</v>
      </c>
      <c r="C204" s="8" t="s">
        <v>143</v>
      </c>
      <c r="D204" s="12" t="e">
        <f>IF(#REF!&gt;=2,IFERROR(MAX(0,#REF!)/IFERROR(_xlfn.SINGLE(_xlfn.XLOOKUP(B204,MA_ARTICULOS!$A:$A,MA_ARTICULOS!$E:$E,1)),1),0),"")</f>
        <v>#REF!</v>
      </c>
      <c r="E204" s="15" t="s">
        <v>65</v>
      </c>
      <c r="F204" s="22" t="e">
        <f>IF(#REF!&gt;=2,IFERROR(D204*_xlfn.SINGLE(_xlfn.XLOOKUP(B204,MA_ARTICULOS!$A:$A,MA_ARTICULOS!$E:$E,0)),""),"")</f>
        <v>#REF!</v>
      </c>
    </row>
    <row r="205" spans="1:6" x14ac:dyDescent="0.3">
      <c r="A205" s="11" t="e">
        <f>IF(#REF!&gt;=2,#REF!,"")</f>
        <v>#REF!</v>
      </c>
      <c r="B205" s="8">
        <v>13040101</v>
      </c>
      <c r="C205" s="8" t="s">
        <v>144</v>
      </c>
      <c r="D205" s="12" t="e">
        <f>IF(#REF!&gt;=2,IFERROR(MAX(0,#REF!)/IFERROR(_xlfn.SINGLE(_xlfn.XLOOKUP(B205,MA_ARTICULOS!$A:$A,MA_ARTICULOS!$E:$E,1)),1),0),"")</f>
        <v>#REF!</v>
      </c>
      <c r="E205" s="15" t="s">
        <v>65</v>
      </c>
      <c r="F205" s="22" t="e">
        <f>IF(#REF!&gt;=2,IFERROR(D205*_xlfn.SINGLE(_xlfn.XLOOKUP(B205,MA_ARTICULOS!$A:$A,MA_ARTICULOS!$E:$E,0)),""),"")</f>
        <v>#REF!</v>
      </c>
    </row>
    <row r="206" spans="1:6" x14ac:dyDescent="0.3">
      <c r="A206" s="11" t="e">
        <f>IF(#REF!&gt;=2,#REF!,"")</f>
        <v>#REF!</v>
      </c>
      <c r="B206" s="8">
        <v>13040102</v>
      </c>
      <c r="C206" s="8" t="s">
        <v>145</v>
      </c>
      <c r="D206" s="12" t="e">
        <f>IF(#REF!&gt;=2,IFERROR(MAX(0,#REF!)/IFERROR(_xlfn.SINGLE(_xlfn.XLOOKUP(B206,MA_ARTICULOS!$A:$A,MA_ARTICULOS!$E:$E,1)),1),0),"")</f>
        <v>#REF!</v>
      </c>
      <c r="E206" s="15" t="s">
        <v>65</v>
      </c>
      <c r="F206" s="22" t="e">
        <f>IF(#REF!&gt;=2,IFERROR(D206*_xlfn.SINGLE(_xlfn.XLOOKUP(B206,MA_ARTICULOS!$A:$A,MA_ARTICULOS!$E:$E,0)),""),"")</f>
        <v>#REF!</v>
      </c>
    </row>
    <row r="207" spans="1:6" x14ac:dyDescent="0.3">
      <c r="A207" s="11" t="e">
        <f>IF(#REF!&gt;=2,#REF!,"")</f>
        <v>#REF!</v>
      </c>
      <c r="B207" s="8">
        <v>13040103</v>
      </c>
      <c r="C207" s="8" t="s">
        <v>146</v>
      </c>
      <c r="D207" s="12" t="e">
        <f>IF(#REF!&gt;=2,IFERROR(MAX(0,#REF!)/IFERROR(_xlfn.SINGLE(_xlfn.XLOOKUP(B207,MA_ARTICULOS!$A:$A,MA_ARTICULOS!$E:$E,1)),1),0),"")</f>
        <v>#REF!</v>
      </c>
      <c r="E207" s="15" t="s">
        <v>65</v>
      </c>
      <c r="F207" s="22" t="e">
        <f>IF(#REF!&gt;=2,IFERROR(D207*_xlfn.SINGLE(_xlfn.XLOOKUP(B207,MA_ARTICULOS!$A:$A,MA_ARTICULOS!$E:$E,0)),""),"")</f>
        <v>#REF!</v>
      </c>
    </row>
    <row r="208" spans="1:6" x14ac:dyDescent="0.3">
      <c r="A208" s="11" t="e">
        <f>IF(#REF!&gt;=2,#REF!,"")</f>
        <v>#REF!</v>
      </c>
      <c r="B208" s="8">
        <v>13050001</v>
      </c>
      <c r="C208" s="8" t="s">
        <v>147</v>
      </c>
      <c r="D208" s="12" t="e">
        <f>IF(#REF!&gt;=2,IFERROR(MAX(0,#REF!)/IFERROR(_xlfn.SINGLE(_xlfn.XLOOKUP(B208,MA_ARTICULOS!$A:$A,MA_ARTICULOS!$E:$E,1)),1),0),"")</f>
        <v>#REF!</v>
      </c>
      <c r="E208" s="15" t="s">
        <v>65</v>
      </c>
      <c r="F208" s="22" t="e">
        <f>IF(#REF!&gt;=2,IFERROR(D208*_xlfn.SINGLE(_xlfn.XLOOKUP(B208,MA_ARTICULOS!$A:$A,MA_ARTICULOS!$E:$E,0)),""),"")</f>
        <v>#REF!</v>
      </c>
    </row>
    <row r="209" spans="1:6" x14ac:dyDescent="0.3">
      <c r="A209" s="11" t="e">
        <f>IF(#REF!&gt;=2,#REF!,"")</f>
        <v>#REF!</v>
      </c>
      <c r="B209" s="8">
        <v>13050002</v>
      </c>
      <c r="C209" s="8" t="s">
        <v>148</v>
      </c>
      <c r="D209" s="12" t="e">
        <f>IF(#REF!&gt;=2,IFERROR(MAX(0,#REF!)/IFERROR(_xlfn.SINGLE(_xlfn.XLOOKUP(B209,MA_ARTICULOS!$A:$A,MA_ARTICULOS!$E:$E,1)),1),0),"")</f>
        <v>#REF!</v>
      </c>
      <c r="E209" s="15" t="s">
        <v>65</v>
      </c>
      <c r="F209" s="22" t="e">
        <f>IF(#REF!&gt;=2,IFERROR(D209*_xlfn.SINGLE(_xlfn.XLOOKUP(B209,MA_ARTICULOS!$A:$A,MA_ARTICULOS!$E:$E,0)),""),"")</f>
        <v>#REF!</v>
      </c>
    </row>
    <row r="210" spans="1:6" x14ac:dyDescent="0.3">
      <c r="A210" s="11" t="e">
        <f>IF(#REF!&gt;=2,#REF!,"")</f>
        <v>#REF!</v>
      </c>
      <c r="B210" s="8">
        <v>13050003</v>
      </c>
      <c r="C210" s="8" t="s">
        <v>149</v>
      </c>
      <c r="D210" s="12" t="e">
        <f>IF(#REF!&gt;=2,IFERROR(MAX(0,#REF!)/IFERROR(_xlfn.SINGLE(_xlfn.XLOOKUP(B210,MA_ARTICULOS!$A:$A,MA_ARTICULOS!$E:$E,1)),1),0),"")</f>
        <v>#REF!</v>
      </c>
      <c r="E210" s="15" t="s">
        <v>65</v>
      </c>
      <c r="F210" s="22" t="e">
        <f>IF(#REF!&gt;=2,IFERROR(D210*_xlfn.SINGLE(_xlfn.XLOOKUP(B210,MA_ARTICULOS!$A:$A,MA_ARTICULOS!$E:$E,0)),""),"")</f>
        <v>#REF!</v>
      </c>
    </row>
    <row r="211" spans="1:6" x14ac:dyDescent="0.3">
      <c r="A211" s="11" t="e">
        <f>IF(#REF!&gt;=2,#REF!,"")</f>
        <v>#REF!</v>
      </c>
      <c r="B211" s="8">
        <v>13050004</v>
      </c>
      <c r="C211" s="8" t="s">
        <v>150</v>
      </c>
      <c r="D211" s="12" t="e">
        <f>IF(#REF!&gt;=2,IFERROR(MAX(0,#REF!)/IFERROR(_xlfn.SINGLE(_xlfn.XLOOKUP(B211,MA_ARTICULOS!$A:$A,MA_ARTICULOS!$E:$E,1)),1),0),"")</f>
        <v>#REF!</v>
      </c>
      <c r="E211" s="15" t="s">
        <v>65</v>
      </c>
      <c r="F211" s="22" t="e">
        <f>IF(#REF!&gt;=2,IFERROR(D211*_xlfn.SINGLE(_xlfn.XLOOKUP(B211,MA_ARTICULOS!$A:$A,MA_ARTICULOS!$E:$E,0)),""),"")</f>
        <v>#REF!</v>
      </c>
    </row>
    <row r="212" spans="1:6" x14ac:dyDescent="0.3">
      <c r="A212" s="11" t="e">
        <f>IF(#REF!&gt;=2,#REF!,"")</f>
        <v>#REF!</v>
      </c>
      <c r="B212" s="8">
        <v>13050005</v>
      </c>
      <c r="C212" s="8" t="s">
        <v>151</v>
      </c>
      <c r="D212" s="12" t="e">
        <f>IF(#REF!&gt;=2,IFERROR(MAX(0,#REF!)/IFERROR(_xlfn.SINGLE(_xlfn.XLOOKUP(B212,MA_ARTICULOS!$A:$A,MA_ARTICULOS!$E:$E,1)),1),0),"")</f>
        <v>#REF!</v>
      </c>
      <c r="E212" s="15" t="s">
        <v>65</v>
      </c>
      <c r="F212" s="22" t="e">
        <f>IF(#REF!&gt;=2,IFERROR(D212*_xlfn.SINGLE(_xlfn.XLOOKUP(B212,MA_ARTICULOS!$A:$A,MA_ARTICULOS!$E:$E,0)),""),"")</f>
        <v>#REF!</v>
      </c>
    </row>
    <row r="213" spans="1:6" x14ac:dyDescent="0.3">
      <c r="A213" s="11" t="e">
        <f>IF(#REF!&gt;=2,#REF!,"")</f>
        <v>#REF!</v>
      </c>
      <c r="B213" s="8">
        <v>13050006</v>
      </c>
      <c r="C213" s="8" t="s">
        <v>152</v>
      </c>
      <c r="D213" s="12" t="e">
        <f>IF(#REF!&gt;=2,IFERROR(MAX(0,#REF!)/IFERROR(_xlfn.SINGLE(_xlfn.XLOOKUP(B213,MA_ARTICULOS!$A:$A,MA_ARTICULOS!$E:$E,1)),1),0),"")</f>
        <v>#REF!</v>
      </c>
      <c r="E213" s="15" t="s">
        <v>65</v>
      </c>
      <c r="F213" s="22" t="e">
        <f>IF(#REF!&gt;=2,IFERROR(D213*_xlfn.SINGLE(_xlfn.XLOOKUP(B213,MA_ARTICULOS!$A:$A,MA_ARTICULOS!$E:$E,0)),""),"")</f>
        <v>#REF!</v>
      </c>
    </row>
    <row r="214" spans="1:6" x14ac:dyDescent="0.3">
      <c r="A214" s="11" t="e">
        <f>IF(#REF!&gt;=2,#REF!,"")</f>
        <v>#REF!</v>
      </c>
      <c r="B214" s="8">
        <v>13050007</v>
      </c>
      <c r="C214" s="8" t="s">
        <v>153</v>
      </c>
      <c r="D214" s="12" t="e">
        <f>IF(#REF!&gt;=2,IFERROR(MAX(0,#REF!)/IFERROR(_xlfn.SINGLE(_xlfn.XLOOKUP(B214,MA_ARTICULOS!$A:$A,MA_ARTICULOS!$E:$E,1)),1),0),"")</f>
        <v>#REF!</v>
      </c>
      <c r="E214" s="15" t="s">
        <v>65</v>
      </c>
      <c r="F214" s="22" t="e">
        <f>IF(#REF!&gt;=2,IFERROR(D214*_xlfn.SINGLE(_xlfn.XLOOKUP(B214,MA_ARTICULOS!$A:$A,MA_ARTICULOS!$E:$E,0)),""),"")</f>
        <v>#REF!</v>
      </c>
    </row>
    <row r="215" spans="1:6" x14ac:dyDescent="0.3">
      <c r="A215" s="11" t="e">
        <f>IF(#REF!&gt;=2,#REF!,"")</f>
        <v>#REF!</v>
      </c>
      <c r="B215" s="8">
        <v>13050008</v>
      </c>
      <c r="C215" s="8" t="s">
        <v>154</v>
      </c>
      <c r="D215" s="12" t="e">
        <f>IF(#REF!&gt;=2,IFERROR(MAX(0,#REF!)/IFERROR(_xlfn.SINGLE(_xlfn.XLOOKUP(B215,MA_ARTICULOS!$A:$A,MA_ARTICULOS!$E:$E,1)),1),0),"")</f>
        <v>#REF!</v>
      </c>
      <c r="E215" s="15" t="s">
        <v>65</v>
      </c>
      <c r="F215" s="22" t="e">
        <f>IF(#REF!&gt;=2,IFERROR(D215*_xlfn.SINGLE(_xlfn.XLOOKUP(B215,MA_ARTICULOS!$A:$A,MA_ARTICULOS!$E:$E,0)),""),"")</f>
        <v>#REF!</v>
      </c>
    </row>
    <row r="216" spans="1:6" x14ac:dyDescent="0.3">
      <c r="A216" s="11" t="e">
        <f>IF(#REF!&gt;=2,#REF!,"")</f>
        <v>#REF!</v>
      </c>
      <c r="B216" s="8">
        <v>13089001</v>
      </c>
      <c r="C216" s="8" t="s">
        <v>155</v>
      </c>
      <c r="D216" s="12" t="e">
        <f>IF(#REF!&gt;=2,IFERROR(MAX(0,#REF!)/IFERROR(_xlfn.SINGLE(_xlfn.XLOOKUP(B216,MA_ARTICULOS!$A:$A,MA_ARTICULOS!$E:$E,1)),1),0),"")</f>
        <v>#REF!</v>
      </c>
      <c r="E216" s="15" t="s">
        <v>65</v>
      </c>
      <c r="F216" s="22" t="e">
        <f>IF(#REF!&gt;=2,IFERROR(D216*_xlfn.SINGLE(_xlfn.XLOOKUP(B216,MA_ARTICULOS!$A:$A,MA_ARTICULOS!$E:$E,0)),""),"")</f>
        <v>#REF!</v>
      </c>
    </row>
    <row r="217" spans="1:6" x14ac:dyDescent="0.3">
      <c r="A217" s="11" t="e">
        <f>IF(#REF!&gt;=2,#REF!,"")</f>
        <v>#REF!</v>
      </c>
      <c r="B217" s="8">
        <v>13089002</v>
      </c>
      <c r="C217" s="8" t="s">
        <v>156</v>
      </c>
      <c r="D217" s="12" t="e">
        <f>IF(#REF!&gt;=2,IFERROR(MAX(0,#REF!)/IFERROR(_xlfn.SINGLE(_xlfn.XLOOKUP(B217,MA_ARTICULOS!$A:$A,MA_ARTICULOS!$E:$E,1)),1),0),"")</f>
        <v>#REF!</v>
      </c>
      <c r="E217" s="15" t="s">
        <v>65</v>
      </c>
      <c r="F217" s="22" t="e">
        <f>IF(#REF!&gt;=2,IFERROR(D217*_xlfn.SINGLE(_xlfn.XLOOKUP(B217,MA_ARTICULOS!$A:$A,MA_ARTICULOS!$E:$E,0)),""),"")</f>
        <v>#REF!</v>
      </c>
    </row>
    <row r="218" spans="1:6" x14ac:dyDescent="0.3">
      <c r="A218" s="11" t="e">
        <f>IF(#REF!&gt;=2,#REF!,"")</f>
        <v>#REF!</v>
      </c>
      <c r="B218" s="8">
        <v>13089003</v>
      </c>
      <c r="C218" s="8" t="s">
        <v>157</v>
      </c>
      <c r="D218" s="12" t="e">
        <f>IF(#REF!&gt;=2,IFERROR(MAX(0,#REF!)/IFERROR(_xlfn.SINGLE(_xlfn.XLOOKUP(B218,MA_ARTICULOS!$A:$A,MA_ARTICULOS!$E:$E,1)),1),0),"")</f>
        <v>#REF!</v>
      </c>
      <c r="E218" s="15" t="s">
        <v>65</v>
      </c>
      <c r="F218" s="22" t="e">
        <f>IF(#REF!&gt;=2,IFERROR(D218*_xlfn.SINGLE(_xlfn.XLOOKUP(B218,MA_ARTICULOS!$A:$A,MA_ARTICULOS!$E:$E,0)),""),"")</f>
        <v>#REF!</v>
      </c>
    </row>
    <row r="219" spans="1:6" x14ac:dyDescent="0.3">
      <c r="A219" s="11" t="e">
        <f>IF(#REF!&gt;=2,#REF!,"")</f>
        <v>#REF!</v>
      </c>
      <c r="B219" s="8">
        <v>13089004</v>
      </c>
      <c r="C219" s="8" t="s">
        <v>158</v>
      </c>
      <c r="D219" s="12" t="e">
        <f>IF(#REF!&gt;=2,IFERROR(MAX(0,#REF!)/IFERROR(_xlfn.SINGLE(_xlfn.XLOOKUP(B219,MA_ARTICULOS!$A:$A,MA_ARTICULOS!$E:$E,1)),1),0),"")</f>
        <v>#REF!</v>
      </c>
      <c r="E219" s="15" t="s">
        <v>65</v>
      </c>
      <c r="F219" s="22" t="e">
        <f>IF(#REF!&gt;=2,IFERROR(D219*_xlfn.SINGLE(_xlfn.XLOOKUP(B219,MA_ARTICULOS!$A:$A,MA_ARTICULOS!$E:$E,0)),""),"")</f>
        <v>#REF!</v>
      </c>
    </row>
    <row r="220" spans="1:6" x14ac:dyDescent="0.3">
      <c r="A220" s="11" t="e">
        <f>IF(#REF!&gt;=2,#REF!,"")</f>
        <v>#REF!</v>
      </c>
      <c r="B220" s="8">
        <v>13089005</v>
      </c>
      <c r="C220" s="8" t="s">
        <v>159</v>
      </c>
      <c r="D220" s="12" t="e">
        <f>IF(#REF!&gt;=2,IFERROR(MAX(0,#REF!)/IFERROR(_xlfn.SINGLE(_xlfn.XLOOKUP(B220,MA_ARTICULOS!$A:$A,MA_ARTICULOS!$E:$E,1)),1),0),"")</f>
        <v>#REF!</v>
      </c>
      <c r="E220" s="15" t="s">
        <v>65</v>
      </c>
      <c r="F220" s="22" t="e">
        <f>IF(#REF!&gt;=2,IFERROR(D220*_xlfn.SINGLE(_xlfn.XLOOKUP(B220,MA_ARTICULOS!$A:$A,MA_ARTICULOS!$E:$E,0)),""),"")</f>
        <v>#REF!</v>
      </c>
    </row>
    <row r="221" spans="1:6" x14ac:dyDescent="0.3">
      <c r="A221" s="11" t="e">
        <f>IF(#REF!&gt;=2,#REF!,"")</f>
        <v>#REF!</v>
      </c>
      <c r="B221" s="8">
        <v>13089006</v>
      </c>
      <c r="C221" s="8" t="s">
        <v>160</v>
      </c>
      <c r="D221" s="12" t="e">
        <f>IF(#REF!&gt;=2,IFERROR(MAX(0,#REF!)/IFERROR(_xlfn.SINGLE(_xlfn.XLOOKUP(B221,MA_ARTICULOS!$A:$A,MA_ARTICULOS!$E:$E,1)),1),0),"")</f>
        <v>#REF!</v>
      </c>
      <c r="E221" s="15" t="s">
        <v>65</v>
      </c>
      <c r="F221" s="22" t="e">
        <f>IF(#REF!&gt;=2,IFERROR(D221*_xlfn.SINGLE(_xlfn.XLOOKUP(B221,MA_ARTICULOS!$A:$A,MA_ARTICULOS!$E:$E,0)),""),"")</f>
        <v>#REF!</v>
      </c>
    </row>
    <row r="222" spans="1:6" x14ac:dyDescent="0.3">
      <c r="A222" s="11" t="e">
        <f>IF(#REF!&gt;=2,#REF!,"")</f>
        <v>#REF!</v>
      </c>
      <c r="B222" s="8">
        <v>13089007</v>
      </c>
      <c r="C222" s="8" t="s">
        <v>161</v>
      </c>
      <c r="D222" s="12" t="e">
        <f>IF(#REF!&gt;=2,IFERROR(MAX(0,#REF!)/IFERROR(_xlfn.SINGLE(_xlfn.XLOOKUP(B222,MA_ARTICULOS!$A:$A,MA_ARTICULOS!$E:$E,1)),1),0),"")</f>
        <v>#REF!</v>
      </c>
      <c r="E222" s="15" t="s">
        <v>65</v>
      </c>
      <c r="F222" s="22" t="e">
        <f>IF(#REF!&gt;=2,IFERROR(D222*_xlfn.SINGLE(_xlfn.XLOOKUP(B222,MA_ARTICULOS!$A:$A,MA_ARTICULOS!$E:$E,0)),""),"")</f>
        <v>#REF!</v>
      </c>
    </row>
    <row r="223" spans="1:6" x14ac:dyDescent="0.3">
      <c r="A223" s="11" t="e">
        <f>IF(#REF!&gt;=2,#REF!,"")</f>
        <v>#REF!</v>
      </c>
      <c r="B223" s="8">
        <v>13090001</v>
      </c>
      <c r="C223" s="8" t="s">
        <v>162</v>
      </c>
      <c r="D223" s="12" t="e">
        <f>IF(#REF!&gt;=2,IFERROR(MAX(0,#REF!)/IFERROR(_xlfn.SINGLE(_xlfn.XLOOKUP(B223,MA_ARTICULOS!$A:$A,MA_ARTICULOS!$E:$E,1)),1),0),"")</f>
        <v>#REF!</v>
      </c>
      <c r="E223" s="15" t="s">
        <v>65</v>
      </c>
      <c r="F223" s="22" t="e">
        <f>IF(#REF!&gt;=2,IFERROR(D223*_xlfn.SINGLE(_xlfn.XLOOKUP(B223,MA_ARTICULOS!$A:$A,MA_ARTICULOS!$E:$E,0)),""),"")</f>
        <v>#REF!</v>
      </c>
    </row>
    <row r="224" spans="1:6" x14ac:dyDescent="0.3">
      <c r="A224" s="11" t="e">
        <f>IF(#REF!&gt;=2,#REF!,"")</f>
        <v>#REF!</v>
      </c>
      <c r="B224" s="8">
        <v>13090002</v>
      </c>
      <c r="C224" s="8" t="s">
        <v>163</v>
      </c>
      <c r="D224" s="12" t="e">
        <f>IF(#REF!&gt;=2,IFERROR(MAX(0,#REF!)/IFERROR(_xlfn.SINGLE(_xlfn.XLOOKUP(B224,MA_ARTICULOS!$A:$A,MA_ARTICULOS!$E:$E,1)),1),0),"")</f>
        <v>#REF!</v>
      </c>
      <c r="E224" s="15" t="s">
        <v>65</v>
      </c>
      <c r="F224" s="22" t="e">
        <f>IF(#REF!&gt;=2,IFERROR(D224*_xlfn.SINGLE(_xlfn.XLOOKUP(B224,MA_ARTICULOS!$A:$A,MA_ARTICULOS!$E:$E,0)),""),"")</f>
        <v>#REF!</v>
      </c>
    </row>
    <row r="225" spans="1:6" x14ac:dyDescent="0.3">
      <c r="A225" s="11" t="e">
        <f>IF(#REF!&gt;=2,#REF!,"")</f>
        <v>#REF!</v>
      </c>
      <c r="B225" s="8">
        <v>13099001</v>
      </c>
      <c r="C225" s="8" t="s">
        <v>164</v>
      </c>
      <c r="D225" s="12" t="e">
        <f>IF(#REF!&gt;=2,IFERROR(MAX(0,#REF!)/IFERROR(_xlfn.SINGLE(_xlfn.XLOOKUP(B225,MA_ARTICULOS!$A:$A,MA_ARTICULOS!$E:$E,1)),1),0),"")</f>
        <v>#REF!</v>
      </c>
      <c r="E225" s="15" t="s">
        <v>65</v>
      </c>
      <c r="F225" s="22" t="e">
        <f>IF(#REF!&gt;=2,IFERROR(D225*_xlfn.SINGLE(_xlfn.XLOOKUP(B225,MA_ARTICULOS!$A:$A,MA_ARTICULOS!$E:$E,0)),""),"")</f>
        <v>#REF!</v>
      </c>
    </row>
    <row r="226" spans="1:6" x14ac:dyDescent="0.3">
      <c r="A226" s="11" t="e">
        <f>IF(#REF!&gt;=2,#REF!,"")</f>
        <v>#REF!</v>
      </c>
      <c r="B226" s="8">
        <v>13099002</v>
      </c>
      <c r="C226" s="8" t="s">
        <v>165</v>
      </c>
      <c r="D226" s="12" t="e">
        <f>IF(#REF!&gt;=2,IFERROR(MAX(0,#REF!)/IFERROR(_xlfn.SINGLE(_xlfn.XLOOKUP(B226,MA_ARTICULOS!$A:$A,MA_ARTICULOS!$E:$E,1)),1),0),"")</f>
        <v>#REF!</v>
      </c>
      <c r="E226" s="15" t="s">
        <v>65</v>
      </c>
      <c r="F226" s="22" t="e">
        <f>IF(#REF!&gt;=2,IFERROR(D226*_xlfn.SINGLE(_xlfn.XLOOKUP(B226,MA_ARTICULOS!$A:$A,MA_ARTICULOS!$E:$E,0)),""),"")</f>
        <v>#REF!</v>
      </c>
    </row>
    <row r="227" spans="1:6" x14ac:dyDescent="0.3">
      <c r="A227" s="11" t="e">
        <f>IF(#REF!&gt;=2,#REF!,"")</f>
        <v>#REF!</v>
      </c>
      <c r="B227" s="8">
        <v>13110001</v>
      </c>
      <c r="C227" s="8" t="s">
        <v>166</v>
      </c>
      <c r="D227" s="12" t="e">
        <f>IF(#REF!&gt;=2,IFERROR(MAX(0,#REF!)/IFERROR(_xlfn.SINGLE(_xlfn.XLOOKUP(B227,MA_ARTICULOS!$A:$A,MA_ARTICULOS!$E:$E,1)),1),0),"")</f>
        <v>#REF!</v>
      </c>
      <c r="E227" s="15" t="s">
        <v>65</v>
      </c>
      <c r="F227" s="22" t="e">
        <f>IF(#REF!&gt;=2,IFERROR(D227*_xlfn.SINGLE(_xlfn.XLOOKUP(B227,MA_ARTICULOS!$A:$A,MA_ARTICULOS!$E:$E,0)),""),"")</f>
        <v>#REF!</v>
      </c>
    </row>
    <row r="228" spans="1:6" x14ac:dyDescent="0.3">
      <c r="A228" s="11" t="e">
        <f>IF(#REF!&gt;=2,#REF!,"")</f>
        <v>#REF!</v>
      </c>
      <c r="B228" s="8">
        <v>13110002</v>
      </c>
      <c r="C228" s="8" t="s">
        <v>167</v>
      </c>
      <c r="D228" s="12" t="e">
        <f>IF(#REF!&gt;=2,IFERROR(MAX(0,#REF!)/IFERROR(_xlfn.SINGLE(_xlfn.XLOOKUP(B228,MA_ARTICULOS!$A:$A,MA_ARTICULOS!$E:$E,1)),1),0),"")</f>
        <v>#REF!</v>
      </c>
      <c r="E228" s="15" t="s">
        <v>65</v>
      </c>
      <c r="F228" s="22" t="e">
        <f>IF(#REF!&gt;=2,IFERROR(D228*_xlfn.SINGLE(_xlfn.XLOOKUP(B228,MA_ARTICULOS!$A:$A,MA_ARTICULOS!$E:$E,0)),""),"")</f>
        <v>#REF!</v>
      </c>
    </row>
    <row r="229" spans="1:6" x14ac:dyDescent="0.3">
      <c r="A229" s="11" t="e">
        <f>IF(#REF!&gt;=2,#REF!,"")</f>
        <v>#REF!</v>
      </c>
      <c r="B229" s="8">
        <v>13110003</v>
      </c>
      <c r="C229" s="8" t="s">
        <v>168</v>
      </c>
      <c r="D229" s="12" t="e">
        <f>IF(#REF!&gt;=2,IFERROR(MAX(0,#REF!)/IFERROR(_xlfn.SINGLE(_xlfn.XLOOKUP(B229,MA_ARTICULOS!$A:$A,MA_ARTICULOS!$E:$E,1)),1),0),"")</f>
        <v>#REF!</v>
      </c>
      <c r="E229" s="15" t="s">
        <v>65</v>
      </c>
      <c r="F229" s="22" t="e">
        <f>IF(#REF!&gt;=2,IFERROR(D229*_xlfn.SINGLE(_xlfn.XLOOKUP(B229,MA_ARTICULOS!$A:$A,MA_ARTICULOS!$E:$E,0)),""),"")</f>
        <v>#REF!</v>
      </c>
    </row>
    <row r="230" spans="1:6" x14ac:dyDescent="0.3">
      <c r="A230" s="11" t="e">
        <f>IF(#REF!&gt;=2,#REF!,"")</f>
        <v>#REF!</v>
      </c>
      <c r="B230" s="8">
        <v>13110004</v>
      </c>
      <c r="C230" s="8" t="s">
        <v>169</v>
      </c>
      <c r="D230" s="12" t="e">
        <f>IF(#REF!&gt;=2,IFERROR(MAX(0,#REF!)/IFERROR(_xlfn.SINGLE(_xlfn.XLOOKUP(B230,MA_ARTICULOS!$A:$A,MA_ARTICULOS!$E:$E,1)),1),0),"")</f>
        <v>#REF!</v>
      </c>
      <c r="E230" s="15" t="s">
        <v>65</v>
      </c>
      <c r="F230" s="22" t="e">
        <f>IF(#REF!&gt;=2,IFERROR(D230*_xlfn.SINGLE(_xlfn.XLOOKUP(B230,MA_ARTICULOS!$A:$A,MA_ARTICULOS!$E:$E,0)),""),"")</f>
        <v>#REF!</v>
      </c>
    </row>
    <row r="231" spans="1:6" x14ac:dyDescent="0.3">
      <c r="A231" s="11" t="e">
        <f>IF(#REF!&gt;=2,#REF!,"")</f>
        <v>#REF!</v>
      </c>
      <c r="B231" s="8">
        <v>13130001</v>
      </c>
      <c r="C231" s="8" t="s">
        <v>170</v>
      </c>
      <c r="D231" s="12" t="e">
        <f>IF(#REF!&gt;=2,IFERROR(MAX(0,#REF!)/IFERROR(_xlfn.SINGLE(_xlfn.XLOOKUP(B231,MA_ARTICULOS!$A:$A,MA_ARTICULOS!$E:$E,1)),1),0),"")</f>
        <v>#REF!</v>
      </c>
      <c r="E231" s="15" t="s">
        <v>65</v>
      </c>
      <c r="F231" s="22" t="e">
        <f>IF(#REF!&gt;=2,IFERROR(D231*_xlfn.SINGLE(_xlfn.XLOOKUP(B231,MA_ARTICULOS!$A:$A,MA_ARTICULOS!$E:$E,0)),""),"")</f>
        <v>#REF!</v>
      </c>
    </row>
    <row r="232" spans="1:6" x14ac:dyDescent="0.3">
      <c r="A232" s="11" t="e">
        <f>IF(#REF!&gt;=2,#REF!,"")</f>
        <v>#REF!</v>
      </c>
      <c r="B232" s="8">
        <v>13130002</v>
      </c>
      <c r="C232" s="8" t="s">
        <v>171</v>
      </c>
      <c r="D232" s="12" t="e">
        <f>IF(#REF!&gt;=2,IFERROR(MAX(0,#REF!)/IFERROR(_xlfn.SINGLE(_xlfn.XLOOKUP(B232,MA_ARTICULOS!$A:$A,MA_ARTICULOS!$E:$E,1)),1),0),"")</f>
        <v>#REF!</v>
      </c>
      <c r="E232" s="15" t="s">
        <v>65</v>
      </c>
      <c r="F232" s="22" t="e">
        <f>IF(#REF!&gt;=2,IFERROR(D232*_xlfn.SINGLE(_xlfn.XLOOKUP(B232,MA_ARTICULOS!$A:$A,MA_ARTICULOS!$E:$E,0)),""),"")</f>
        <v>#REF!</v>
      </c>
    </row>
    <row r="233" spans="1:6" x14ac:dyDescent="0.3">
      <c r="A233" s="11" t="e">
        <f>IF(#REF!&gt;=2,#REF!,"")</f>
        <v>#REF!</v>
      </c>
      <c r="B233" s="8">
        <v>13130003</v>
      </c>
      <c r="C233" s="8" t="s">
        <v>172</v>
      </c>
      <c r="D233" s="12" t="e">
        <f>IF(#REF!&gt;=2,IFERROR(MAX(0,#REF!)/IFERROR(_xlfn.SINGLE(_xlfn.XLOOKUP(B233,MA_ARTICULOS!$A:$A,MA_ARTICULOS!$E:$E,1)),1),0),"")</f>
        <v>#REF!</v>
      </c>
      <c r="E233" s="15" t="s">
        <v>65</v>
      </c>
      <c r="F233" s="22" t="e">
        <f>IF(#REF!&gt;=2,IFERROR(D233*_xlfn.SINGLE(_xlfn.XLOOKUP(B233,MA_ARTICULOS!$A:$A,MA_ARTICULOS!$E:$E,0)),""),"")</f>
        <v>#REF!</v>
      </c>
    </row>
    <row r="234" spans="1:6" x14ac:dyDescent="0.3">
      <c r="A234" s="11" t="e">
        <f>IF(#REF!&gt;=2,#REF!,"")</f>
        <v>#REF!</v>
      </c>
      <c r="B234" s="8">
        <v>23080001</v>
      </c>
      <c r="C234" s="8" t="s">
        <v>173</v>
      </c>
      <c r="D234" s="12" t="e">
        <f>IF(#REF!&gt;=2,IFERROR(MAX(0,#REF!)/IFERROR(_xlfn.SINGLE(_xlfn.XLOOKUP(B234,MA_ARTICULOS!$A:$A,MA_ARTICULOS!$E:$E,1)),1),0),"")</f>
        <v>#REF!</v>
      </c>
      <c r="E234" s="15" t="s">
        <v>65</v>
      </c>
      <c r="F234" s="22" t="e">
        <f>IF(#REF!&gt;=2,IFERROR(D234*_xlfn.SINGLE(_xlfn.XLOOKUP(B234,MA_ARTICULOS!$A:$A,MA_ARTICULOS!$E:$E,0)),""),"")</f>
        <v>#REF!</v>
      </c>
    </row>
    <row r="235" spans="1:6" x14ac:dyDescent="0.3">
      <c r="A235" s="11" t="e">
        <f>IF(#REF!&gt;=2,#REF!,"")</f>
        <v>#REF!</v>
      </c>
      <c r="B235" s="8">
        <v>23080002</v>
      </c>
      <c r="C235" s="8" t="s">
        <v>174</v>
      </c>
      <c r="D235" s="12" t="e">
        <f>IF(#REF!&gt;=2,IFERROR(MAX(0,#REF!)/IFERROR(_xlfn.SINGLE(_xlfn.XLOOKUP(B235,MA_ARTICULOS!$A:$A,MA_ARTICULOS!$E:$E,1)),1),0),"")</f>
        <v>#REF!</v>
      </c>
      <c r="E235" s="15" t="s">
        <v>65</v>
      </c>
      <c r="F235" s="22" t="e">
        <f>IF(#REF!&gt;=2,IFERROR(D235*_xlfn.SINGLE(_xlfn.XLOOKUP(B235,MA_ARTICULOS!$A:$A,MA_ARTICULOS!$E:$E,0)),""),"")</f>
        <v>#REF!</v>
      </c>
    </row>
    <row r="236" spans="1:6" x14ac:dyDescent="0.3">
      <c r="A236" s="11" t="e">
        <f>IF(#REF!&gt;=2,#REF!,"")</f>
        <v>#REF!</v>
      </c>
      <c r="B236" s="8">
        <v>23080003</v>
      </c>
      <c r="C236" s="8" t="s">
        <v>175</v>
      </c>
      <c r="D236" s="12" t="e">
        <f>IF(#REF!&gt;=2,IFERROR(MAX(0,#REF!)/IFERROR(_xlfn.SINGLE(_xlfn.XLOOKUP(B236,MA_ARTICULOS!$A:$A,MA_ARTICULOS!$E:$E,1)),1),0),"")</f>
        <v>#REF!</v>
      </c>
      <c r="E236" s="15" t="s">
        <v>65</v>
      </c>
      <c r="F236" s="22" t="e">
        <f>IF(#REF!&gt;=2,IFERROR(D236*_xlfn.SINGLE(_xlfn.XLOOKUP(B236,MA_ARTICULOS!$A:$A,MA_ARTICULOS!$E:$E,0)),""),"")</f>
        <v>#REF!</v>
      </c>
    </row>
    <row r="237" spans="1:6" x14ac:dyDescent="0.3">
      <c r="A237" s="11" t="e">
        <f>IF(#REF!&gt;=2,#REF!,"")</f>
        <v>#REF!</v>
      </c>
      <c r="B237" s="8">
        <v>23080004</v>
      </c>
      <c r="C237" s="8" t="s">
        <v>176</v>
      </c>
      <c r="D237" s="12" t="e">
        <f>IF(#REF!&gt;=2,IFERROR(MAX(0,#REF!)/IFERROR(_xlfn.SINGLE(_xlfn.XLOOKUP(B237,MA_ARTICULOS!$A:$A,MA_ARTICULOS!$E:$E,1)),1),0),"")</f>
        <v>#REF!</v>
      </c>
      <c r="E237" s="15" t="s">
        <v>65</v>
      </c>
      <c r="F237" s="22" t="e">
        <f>IF(#REF!&gt;=2,IFERROR(D237*_xlfn.SINGLE(_xlfn.XLOOKUP(B237,MA_ARTICULOS!$A:$A,MA_ARTICULOS!$E:$E,0)),""),"")</f>
        <v>#REF!</v>
      </c>
    </row>
    <row r="238" spans="1:6" x14ac:dyDescent="0.3">
      <c r="A238" s="11" t="e">
        <f>IF(#REF!&gt;=2,#REF!,"")</f>
        <v>#REF!</v>
      </c>
      <c r="B238" s="8">
        <v>23080005</v>
      </c>
      <c r="C238" s="8" t="s">
        <v>177</v>
      </c>
      <c r="D238" s="12" t="e">
        <f>IF(#REF!&gt;=2,IFERROR(MAX(0,#REF!)/IFERROR(_xlfn.SINGLE(_xlfn.XLOOKUP(B238,MA_ARTICULOS!$A:$A,MA_ARTICULOS!$E:$E,1)),1),0),"")</f>
        <v>#REF!</v>
      </c>
      <c r="E238" s="15" t="s">
        <v>65</v>
      </c>
      <c r="F238" s="22" t="e">
        <f>IF(#REF!&gt;=2,IFERROR(D238*_xlfn.SINGLE(_xlfn.XLOOKUP(B238,MA_ARTICULOS!$A:$A,MA_ARTICULOS!$E:$E,0)),""),"")</f>
        <v>#REF!</v>
      </c>
    </row>
    <row r="239" spans="1:6" x14ac:dyDescent="0.3">
      <c r="A239" s="11" t="e">
        <f>IF(#REF!&gt;=2,#REF!,"")</f>
        <v>#REF!</v>
      </c>
      <c r="B239" s="8">
        <v>23080006</v>
      </c>
      <c r="C239" s="8" t="s">
        <v>178</v>
      </c>
      <c r="D239" s="12" t="e">
        <f>IF(#REF!&gt;=2,IFERROR(MAX(0,#REF!)/IFERROR(_xlfn.SINGLE(_xlfn.XLOOKUP(B239,MA_ARTICULOS!$A:$A,MA_ARTICULOS!$E:$E,1)),1),0),"")</f>
        <v>#REF!</v>
      </c>
      <c r="E239" s="15" t="s">
        <v>65</v>
      </c>
      <c r="F239" s="22" t="e">
        <f>IF(#REF!&gt;=2,IFERROR(D239*_xlfn.SINGLE(_xlfn.XLOOKUP(B239,MA_ARTICULOS!$A:$A,MA_ARTICULOS!$E:$E,0)),""),"")</f>
        <v>#REF!</v>
      </c>
    </row>
    <row r="240" spans="1:6" x14ac:dyDescent="0.3">
      <c r="A240" s="11" t="e">
        <f>IF(#REF!&gt;=2,#REF!,"")</f>
        <v>#REF!</v>
      </c>
      <c r="B240" s="8">
        <v>23080007</v>
      </c>
      <c r="C240" s="8" t="s">
        <v>179</v>
      </c>
      <c r="D240" s="12" t="e">
        <f>IF(#REF!&gt;=2,IFERROR(MAX(0,#REF!)/IFERROR(_xlfn.SINGLE(_xlfn.XLOOKUP(B240,MA_ARTICULOS!$A:$A,MA_ARTICULOS!$E:$E,1)),1),0),"")</f>
        <v>#REF!</v>
      </c>
      <c r="E240" s="15" t="s">
        <v>65</v>
      </c>
      <c r="F240" s="22" t="e">
        <f>IF(#REF!&gt;=2,IFERROR(D240*_xlfn.SINGLE(_xlfn.XLOOKUP(B240,MA_ARTICULOS!$A:$A,MA_ARTICULOS!$E:$E,0)),""),"")</f>
        <v>#REF!</v>
      </c>
    </row>
    <row r="241" spans="1:6" x14ac:dyDescent="0.3">
      <c r="A241" s="11" t="e">
        <f>IF(#REF!&gt;=2,#REF!,"")</f>
        <v>#REF!</v>
      </c>
      <c r="B241" s="8">
        <v>101</v>
      </c>
      <c r="C241" s="8" t="s">
        <v>180</v>
      </c>
      <c r="D241" s="12" t="e">
        <f>IF(#REF!&gt;=2,IFERROR(MAX(0,#REF!)/IFERROR(_xlfn.SINGLE(_xlfn.XLOOKUP(B241,MA_ARTICULOS!$A:$A,MA_ARTICULOS!$E:$E,1)),1),0),"")</f>
        <v>#REF!</v>
      </c>
      <c r="E241" s="15" t="s">
        <v>65</v>
      </c>
      <c r="F241" s="22" t="e">
        <f>IF(#REF!&gt;=2,IFERROR(D241*_xlfn.SINGLE(_xlfn.XLOOKUP(B241,MA_ARTICULOS!$A:$A,MA_ARTICULOS!$E:$E,0)),""),"")</f>
        <v>#REF!</v>
      </c>
    </row>
    <row r="242" spans="1:6" x14ac:dyDescent="0.3">
      <c r="A242" s="11" t="e">
        <f>IF(#REF!&gt;=2,#REF!,"")</f>
        <v>#REF!</v>
      </c>
      <c r="B242" s="8">
        <v>102</v>
      </c>
      <c r="C242" s="8" t="s">
        <v>181</v>
      </c>
      <c r="D242" s="12" t="e">
        <f>IF(#REF!&gt;=2,IFERROR(MAX(0,#REF!)/IFERROR(_xlfn.SINGLE(_xlfn.XLOOKUP(B242,MA_ARTICULOS!$A:$A,MA_ARTICULOS!$E:$E,1)),1),0),"")</f>
        <v>#REF!</v>
      </c>
      <c r="E242" s="15" t="s">
        <v>65</v>
      </c>
      <c r="F242" s="22" t="e">
        <f>IF(#REF!&gt;=2,IFERROR(D242*_xlfn.SINGLE(_xlfn.XLOOKUP(B242,MA_ARTICULOS!$A:$A,MA_ARTICULOS!$E:$E,0)),""),"")</f>
        <v>#REF!</v>
      </c>
    </row>
    <row r="243" spans="1:6" x14ac:dyDescent="0.3">
      <c r="A243" s="11" t="e">
        <f>IF(#REF!&gt;=2,#REF!,"")</f>
        <v>#REF!</v>
      </c>
      <c r="B243" s="8">
        <v>104</v>
      </c>
      <c r="C243" s="8" t="s">
        <v>182</v>
      </c>
      <c r="D243" s="12" t="e">
        <f>IF(#REF!&gt;=2,IFERROR(MAX(0,#REF!)/IFERROR(_xlfn.SINGLE(_xlfn.XLOOKUP(B243,MA_ARTICULOS!$A:$A,MA_ARTICULOS!$E:$E,1)),1),0),"")</f>
        <v>#REF!</v>
      </c>
      <c r="E243" s="15" t="s">
        <v>65</v>
      </c>
      <c r="F243" s="22" t="e">
        <f>IF(#REF!&gt;=2,IFERROR(D243*_xlfn.SINGLE(_xlfn.XLOOKUP(B243,MA_ARTICULOS!$A:$A,MA_ARTICULOS!$E:$E,0)),""),"")</f>
        <v>#REF!</v>
      </c>
    </row>
    <row r="244" spans="1:6" x14ac:dyDescent="0.3">
      <c r="A244" s="11" t="e">
        <f>IF(#REF!&gt;=2,#REF!,"")</f>
        <v>#REF!</v>
      </c>
      <c r="B244" s="8">
        <v>105</v>
      </c>
      <c r="C244" s="8" t="s">
        <v>183</v>
      </c>
      <c r="D244" s="12" t="e">
        <f>IF(#REF!&gt;=2,IFERROR(MAX(0,#REF!)/IFERROR(_xlfn.SINGLE(_xlfn.XLOOKUP(B244,MA_ARTICULOS!$A:$A,MA_ARTICULOS!$E:$E,1)),1),0),"")</f>
        <v>#REF!</v>
      </c>
      <c r="E244" s="15" t="s">
        <v>65</v>
      </c>
      <c r="F244" s="22" t="e">
        <f>IF(#REF!&gt;=2,IFERROR(D244*_xlfn.SINGLE(_xlfn.XLOOKUP(B244,MA_ARTICULOS!$A:$A,MA_ARTICULOS!$E:$E,0)),""),"")</f>
        <v>#REF!</v>
      </c>
    </row>
    <row r="245" spans="1:6" x14ac:dyDescent="0.3">
      <c r="A245" s="11" t="e">
        <f>IF(#REF!&gt;=2,#REF!,"")</f>
        <v>#REF!</v>
      </c>
      <c r="B245" s="8">
        <v>106</v>
      </c>
      <c r="C245" s="8" t="s">
        <v>184</v>
      </c>
      <c r="D245" s="12" t="e">
        <f>IF(#REF!&gt;=2,IFERROR(MAX(0,#REF!)/IFERROR(_xlfn.SINGLE(_xlfn.XLOOKUP(B245,MA_ARTICULOS!$A:$A,MA_ARTICULOS!$E:$E,1)),1),0),"")</f>
        <v>#REF!</v>
      </c>
      <c r="E245" s="15" t="s">
        <v>65</v>
      </c>
      <c r="F245" s="22" t="e">
        <f>IF(#REF!&gt;=2,IFERROR(D245*_xlfn.SINGLE(_xlfn.XLOOKUP(B245,MA_ARTICULOS!$A:$A,MA_ARTICULOS!$E:$E,0)),""),"")</f>
        <v>#REF!</v>
      </c>
    </row>
    <row r="246" spans="1:6" x14ac:dyDescent="0.3">
      <c r="A246" s="11" t="e">
        <f>IF(#REF!&gt;=2,#REF!,"")</f>
        <v>#REF!</v>
      </c>
      <c r="B246" s="8">
        <v>120</v>
      </c>
      <c r="C246" s="8" t="s">
        <v>185</v>
      </c>
      <c r="D246" s="12" t="e">
        <f>IF(#REF!&gt;=2,IFERROR(MAX(0,#REF!)/IFERROR(_xlfn.SINGLE(_xlfn.XLOOKUP(B246,MA_ARTICULOS!$A:$A,MA_ARTICULOS!$E:$E,1)),1),0),"")</f>
        <v>#REF!</v>
      </c>
      <c r="E246" s="15" t="s">
        <v>65</v>
      </c>
      <c r="F246" s="22" t="e">
        <f>IF(#REF!&gt;=2,IFERROR(D246*_xlfn.SINGLE(_xlfn.XLOOKUP(B246,MA_ARTICULOS!$A:$A,MA_ARTICULOS!$E:$E,0)),""),"")</f>
        <v>#REF!</v>
      </c>
    </row>
    <row r="247" spans="1:6" x14ac:dyDescent="0.3">
      <c r="A247" s="11" t="e">
        <f>IF(#REF!&gt;=2,#REF!,"")</f>
        <v>#REF!</v>
      </c>
      <c r="B247" s="8">
        <v>121</v>
      </c>
      <c r="C247" s="8" t="s">
        <v>186</v>
      </c>
      <c r="D247" s="12" t="e">
        <f>IF(#REF!&gt;=2,IFERROR(MAX(0,#REF!)/IFERROR(_xlfn.SINGLE(_xlfn.XLOOKUP(B247,MA_ARTICULOS!$A:$A,MA_ARTICULOS!$E:$E,1)),1),0),"")</f>
        <v>#REF!</v>
      </c>
      <c r="E247" s="15" t="s">
        <v>65</v>
      </c>
      <c r="F247" s="22" t="e">
        <f>IF(#REF!&gt;=2,IFERROR(D247*_xlfn.SINGLE(_xlfn.XLOOKUP(B247,MA_ARTICULOS!$A:$A,MA_ARTICULOS!$E:$E,0)),""),"")</f>
        <v>#REF!</v>
      </c>
    </row>
    <row r="248" spans="1:6" x14ac:dyDescent="0.3">
      <c r="A248" s="18" t="s">
        <v>205</v>
      </c>
      <c r="B248" s="14"/>
      <c r="C248" s="14"/>
      <c r="D248" s="14"/>
      <c r="E248" s="14"/>
      <c r="F248" s="21"/>
    </row>
    <row r="249" spans="1:6" x14ac:dyDescent="0.3">
      <c r="A249" s="11" t="e">
        <f>IF(#REF!&gt;=3,#REF!,"")</f>
        <v>#REF!</v>
      </c>
      <c r="B249" s="8">
        <v>11010001</v>
      </c>
      <c r="C249" s="8" t="s">
        <v>64</v>
      </c>
      <c r="D249" s="12" t="e">
        <f>IF(#REF!&gt;=3,IFERROR(MAX(0,#REF!)/IFERROR(_xlfn.SINGLE(_xlfn.XLOOKUP(B249,MA_ARTICULOS!$A:$A,MA_ARTICULOS!$E:$E,1)),1),0),"")</f>
        <v>#REF!</v>
      </c>
      <c r="E249" s="15" t="s">
        <v>65</v>
      </c>
      <c r="F249" s="22" t="e">
        <f>IF(#REF!&gt;=3,IFERROR(D249*_xlfn.SINGLE(_xlfn.XLOOKUP(B249,MA_ARTICULOS!$A:$A,MA_ARTICULOS!$E:$E,0)),""),"")</f>
        <v>#REF!</v>
      </c>
    </row>
    <row r="250" spans="1:6" x14ac:dyDescent="0.3">
      <c r="A250" s="11" t="e">
        <f>IF(#REF!&gt;=3,#REF!,"")</f>
        <v>#REF!</v>
      </c>
      <c r="B250" s="8">
        <v>11010002</v>
      </c>
      <c r="C250" s="8" t="s">
        <v>66</v>
      </c>
      <c r="D250" s="12" t="e">
        <f>IF(#REF!&gt;=3,IFERROR(MAX(0,#REF!)/IFERROR(_xlfn.SINGLE(_xlfn.XLOOKUP(B250,MA_ARTICULOS!$A:$A,MA_ARTICULOS!$E:$E,1)),1),0),"")</f>
        <v>#REF!</v>
      </c>
      <c r="E250" s="15" t="s">
        <v>65</v>
      </c>
      <c r="F250" s="22" t="e">
        <f>IF(#REF!&gt;=3,IFERROR(D250*_xlfn.SINGLE(_xlfn.XLOOKUP(B250,MA_ARTICULOS!$A:$A,MA_ARTICULOS!$E:$E,0)),""),"")</f>
        <v>#REF!</v>
      </c>
    </row>
    <row r="251" spans="1:6" x14ac:dyDescent="0.3">
      <c r="A251" s="11" t="e">
        <f>IF(#REF!&gt;=3,#REF!,"")</f>
        <v>#REF!</v>
      </c>
      <c r="B251" s="8">
        <v>11010003</v>
      </c>
      <c r="C251" s="8" t="s">
        <v>67</v>
      </c>
      <c r="D251" s="12" t="e">
        <f>IF(#REF!&gt;=3,IFERROR(MAX(0,#REF!)/IFERROR(_xlfn.SINGLE(_xlfn.XLOOKUP(B251,MA_ARTICULOS!$A:$A,MA_ARTICULOS!$E:$E,1)),1),0),"")</f>
        <v>#REF!</v>
      </c>
      <c r="E251" s="15" t="s">
        <v>65</v>
      </c>
      <c r="F251" s="22" t="e">
        <f>IF(#REF!&gt;=3,IFERROR(D251*_xlfn.SINGLE(_xlfn.XLOOKUP(B251,MA_ARTICULOS!$A:$A,MA_ARTICULOS!$E:$E,0)),""),"")</f>
        <v>#REF!</v>
      </c>
    </row>
    <row r="252" spans="1:6" x14ac:dyDescent="0.3">
      <c r="A252" s="11" t="e">
        <f>IF(#REF!&gt;=3,#REF!,"")</f>
        <v>#REF!</v>
      </c>
      <c r="B252" s="8">
        <v>11010004</v>
      </c>
      <c r="C252" s="8" t="s">
        <v>68</v>
      </c>
      <c r="D252" s="12" t="e">
        <f>IF(#REF!&gt;=3,IFERROR(MAX(0,#REF!)/IFERROR(_xlfn.SINGLE(_xlfn.XLOOKUP(B252,MA_ARTICULOS!$A:$A,MA_ARTICULOS!$E:$E,1)),1),0),"")</f>
        <v>#REF!</v>
      </c>
      <c r="E252" s="15" t="s">
        <v>65</v>
      </c>
      <c r="F252" s="22" t="e">
        <f>IF(#REF!&gt;=3,IFERROR(D252*_xlfn.SINGLE(_xlfn.XLOOKUP(B252,MA_ARTICULOS!$A:$A,MA_ARTICULOS!$E:$E,0)),""),"")</f>
        <v>#REF!</v>
      </c>
    </row>
    <row r="253" spans="1:6" x14ac:dyDescent="0.3">
      <c r="A253" s="11" t="e">
        <f>IF(#REF!&gt;=3,#REF!,"")</f>
        <v>#REF!</v>
      </c>
      <c r="B253" s="8">
        <v>11010005</v>
      </c>
      <c r="C253" s="8" t="s">
        <v>69</v>
      </c>
      <c r="D253" s="12" t="e">
        <f>IF(#REF!&gt;=3,IFERROR(MAX(0,#REF!)/IFERROR(_xlfn.SINGLE(_xlfn.XLOOKUP(B253,MA_ARTICULOS!$A:$A,MA_ARTICULOS!$E:$E,1)),1),0),"")</f>
        <v>#REF!</v>
      </c>
      <c r="E253" s="15" t="s">
        <v>65</v>
      </c>
      <c r="F253" s="22" t="e">
        <f>IF(#REF!&gt;=3,IFERROR(D253*_xlfn.SINGLE(_xlfn.XLOOKUP(B253,MA_ARTICULOS!$A:$A,MA_ARTICULOS!$E:$E,0)),""),"")</f>
        <v>#REF!</v>
      </c>
    </row>
    <row r="254" spans="1:6" x14ac:dyDescent="0.3">
      <c r="A254" s="11" t="e">
        <f>IF(#REF!&gt;=3,#REF!,"")</f>
        <v>#REF!</v>
      </c>
      <c r="B254" s="8">
        <v>11010007</v>
      </c>
      <c r="C254" s="8" t="s">
        <v>70</v>
      </c>
      <c r="D254" s="12" t="e">
        <f>IF(#REF!&gt;=3,IFERROR(MAX(0,#REF!)/IFERROR(_xlfn.SINGLE(_xlfn.XLOOKUP(B254,MA_ARTICULOS!$A:$A,MA_ARTICULOS!$E:$E,1)),1),0),"")</f>
        <v>#REF!</v>
      </c>
      <c r="E254" s="15" t="s">
        <v>65</v>
      </c>
      <c r="F254" s="22" t="e">
        <f>IF(#REF!&gt;=3,IFERROR(D254*_xlfn.SINGLE(_xlfn.XLOOKUP(B254,MA_ARTICULOS!$A:$A,MA_ARTICULOS!$E:$E,0)),""),"")</f>
        <v>#REF!</v>
      </c>
    </row>
    <row r="255" spans="1:6" x14ac:dyDescent="0.3">
      <c r="A255" s="11" t="e">
        <f>IF(#REF!&gt;=3,#REF!,"")</f>
        <v>#REF!</v>
      </c>
      <c r="B255" s="8">
        <v>11010008</v>
      </c>
      <c r="C255" s="8" t="s">
        <v>71</v>
      </c>
      <c r="D255" s="12" t="e">
        <f>IF(#REF!&gt;=3,IFERROR(MAX(0,#REF!)/IFERROR(_xlfn.SINGLE(_xlfn.XLOOKUP(B255,MA_ARTICULOS!$A:$A,MA_ARTICULOS!$E:$E,1)),1),0),"")</f>
        <v>#REF!</v>
      </c>
      <c r="E255" s="15" t="s">
        <v>65</v>
      </c>
      <c r="F255" s="22" t="e">
        <f>IF(#REF!&gt;=3,IFERROR(D255*_xlfn.SINGLE(_xlfn.XLOOKUP(B255,MA_ARTICULOS!$A:$A,MA_ARTICULOS!$E:$E,0)),""),"")</f>
        <v>#REF!</v>
      </c>
    </row>
    <row r="256" spans="1:6" x14ac:dyDescent="0.3">
      <c r="A256" s="11" t="e">
        <f>IF(#REF!&gt;=3,#REF!,"")</f>
        <v>#REF!</v>
      </c>
      <c r="B256" s="8">
        <v>11010009</v>
      </c>
      <c r="C256" s="8" t="s">
        <v>72</v>
      </c>
      <c r="D256" s="12" t="e">
        <f>IF(#REF!&gt;=3,IFERROR(MAX(0,#REF!)/IFERROR(_xlfn.SINGLE(_xlfn.XLOOKUP(B256,MA_ARTICULOS!$A:$A,MA_ARTICULOS!$E:$E,1)),1),0),"")</f>
        <v>#REF!</v>
      </c>
      <c r="E256" s="15" t="s">
        <v>65</v>
      </c>
      <c r="F256" s="22" t="e">
        <f>IF(#REF!&gt;=3,IFERROR(D256*_xlfn.SINGLE(_xlfn.XLOOKUP(B256,MA_ARTICULOS!$A:$A,MA_ARTICULOS!$E:$E,0)),""),"")</f>
        <v>#REF!</v>
      </c>
    </row>
    <row r="257" spans="1:6" x14ac:dyDescent="0.3">
      <c r="A257" s="11" t="e">
        <f>IF(#REF!&gt;=3,#REF!,"")</f>
        <v>#REF!</v>
      </c>
      <c r="B257" s="8">
        <v>11010010</v>
      </c>
      <c r="C257" s="8" t="s">
        <v>73</v>
      </c>
      <c r="D257" s="12" t="e">
        <f>IF(#REF!&gt;=3,IFERROR(MAX(0,#REF!)/IFERROR(_xlfn.SINGLE(_xlfn.XLOOKUP(B257,MA_ARTICULOS!$A:$A,MA_ARTICULOS!$E:$E,1)),1),0),"")</f>
        <v>#REF!</v>
      </c>
      <c r="E257" s="15" t="s">
        <v>65</v>
      </c>
      <c r="F257" s="22" t="e">
        <f>IF(#REF!&gt;=3,IFERROR(D257*_xlfn.SINGLE(_xlfn.XLOOKUP(B257,MA_ARTICULOS!$A:$A,MA_ARTICULOS!$E:$E,0)),""),"")</f>
        <v>#REF!</v>
      </c>
    </row>
    <row r="258" spans="1:6" x14ac:dyDescent="0.3">
      <c r="A258" s="11" t="e">
        <f>IF(#REF!&gt;=3,#REF!,"")</f>
        <v>#REF!</v>
      </c>
      <c r="B258" s="8">
        <v>11010011</v>
      </c>
      <c r="C258" s="8" t="s">
        <v>74</v>
      </c>
      <c r="D258" s="12" t="e">
        <f>IF(#REF!&gt;=3,IFERROR(MAX(0,#REF!)/IFERROR(_xlfn.SINGLE(_xlfn.XLOOKUP(B258,MA_ARTICULOS!$A:$A,MA_ARTICULOS!$E:$E,1)),1),0),"")</f>
        <v>#REF!</v>
      </c>
      <c r="E258" s="15" t="s">
        <v>65</v>
      </c>
      <c r="F258" s="22" t="e">
        <f>IF(#REF!&gt;=3,IFERROR(D258*_xlfn.SINGLE(_xlfn.XLOOKUP(B258,MA_ARTICULOS!$A:$A,MA_ARTICULOS!$E:$E,0)),""),"")</f>
        <v>#REF!</v>
      </c>
    </row>
    <row r="259" spans="1:6" x14ac:dyDescent="0.3">
      <c r="A259" s="11" t="e">
        <f>IF(#REF!&gt;=3,#REF!,"")</f>
        <v>#REF!</v>
      </c>
      <c r="B259" s="8">
        <v>11010013</v>
      </c>
      <c r="C259" s="8" t="s">
        <v>75</v>
      </c>
      <c r="D259" s="12" t="e">
        <f>IF(#REF!&gt;=3,IFERROR(MAX(0,#REF!)/IFERROR(_xlfn.SINGLE(_xlfn.XLOOKUP(B259,MA_ARTICULOS!$A:$A,MA_ARTICULOS!$E:$E,1)),1),0),"")</f>
        <v>#REF!</v>
      </c>
      <c r="E259" s="15" t="s">
        <v>65</v>
      </c>
      <c r="F259" s="22" t="e">
        <f>IF(#REF!&gt;=3,IFERROR(D259*_xlfn.SINGLE(_xlfn.XLOOKUP(B259,MA_ARTICULOS!$A:$A,MA_ARTICULOS!$E:$E,0)),""),"")</f>
        <v>#REF!</v>
      </c>
    </row>
    <row r="260" spans="1:6" x14ac:dyDescent="0.3">
      <c r="A260" s="11" t="e">
        <f>IF(#REF!&gt;=3,#REF!,"")</f>
        <v>#REF!</v>
      </c>
      <c r="B260" s="8">
        <v>11010014</v>
      </c>
      <c r="C260" s="8" t="s">
        <v>76</v>
      </c>
      <c r="D260" s="12" t="e">
        <f>IF(#REF!&gt;=3,IFERROR(MAX(0,#REF!)/IFERROR(_xlfn.SINGLE(_xlfn.XLOOKUP(B260,MA_ARTICULOS!$A:$A,MA_ARTICULOS!$E:$E,1)),1),0),"")</f>
        <v>#REF!</v>
      </c>
      <c r="E260" s="15" t="s">
        <v>65</v>
      </c>
      <c r="F260" s="22" t="e">
        <f>IF(#REF!&gt;=3,IFERROR(D260*_xlfn.SINGLE(_xlfn.XLOOKUP(B260,MA_ARTICULOS!$A:$A,MA_ARTICULOS!$E:$E,0)),""),"")</f>
        <v>#REF!</v>
      </c>
    </row>
    <row r="261" spans="1:6" x14ac:dyDescent="0.3">
      <c r="A261" s="11" t="e">
        <f>IF(#REF!&gt;=3,#REF!,"")</f>
        <v>#REF!</v>
      </c>
      <c r="B261" s="8">
        <v>11010015</v>
      </c>
      <c r="C261" s="8" t="s">
        <v>77</v>
      </c>
      <c r="D261" s="12" t="e">
        <f>IF(#REF!&gt;=3,IFERROR(MAX(0,#REF!)/IFERROR(_xlfn.SINGLE(_xlfn.XLOOKUP(B261,MA_ARTICULOS!$A:$A,MA_ARTICULOS!$E:$E,1)),1),0),"")</f>
        <v>#REF!</v>
      </c>
      <c r="E261" s="15" t="s">
        <v>65</v>
      </c>
      <c r="F261" s="22" t="e">
        <f>IF(#REF!&gt;=3,IFERROR(D261*_xlfn.SINGLE(_xlfn.XLOOKUP(B261,MA_ARTICULOS!$A:$A,MA_ARTICULOS!$E:$E,0)),""),"")</f>
        <v>#REF!</v>
      </c>
    </row>
    <row r="262" spans="1:6" x14ac:dyDescent="0.3">
      <c r="A262" s="11" t="e">
        <f>IF(#REF!&gt;=3,#REF!,"")</f>
        <v>#REF!</v>
      </c>
      <c r="B262" s="8">
        <v>11010018</v>
      </c>
      <c r="C262" s="8" t="s">
        <v>78</v>
      </c>
      <c r="D262" s="12" t="e">
        <f>IF(#REF!&gt;=3,IFERROR(MAX(0,#REF!)/IFERROR(_xlfn.SINGLE(_xlfn.XLOOKUP(B262,MA_ARTICULOS!$A:$A,MA_ARTICULOS!$E:$E,1)),1),0),"")</f>
        <v>#REF!</v>
      </c>
      <c r="E262" s="15" t="s">
        <v>65</v>
      </c>
      <c r="F262" s="22" t="e">
        <f>IF(#REF!&gt;=3,IFERROR(D262*_xlfn.SINGLE(_xlfn.XLOOKUP(B262,MA_ARTICULOS!$A:$A,MA_ARTICULOS!$E:$E,0)),""),"")</f>
        <v>#REF!</v>
      </c>
    </row>
    <row r="263" spans="1:6" x14ac:dyDescent="0.3">
      <c r="A263" s="11" t="e">
        <f>IF(#REF!&gt;=3,#REF!,"")</f>
        <v>#REF!</v>
      </c>
      <c r="B263" s="8">
        <v>11010019</v>
      </c>
      <c r="C263" s="8" t="s">
        <v>79</v>
      </c>
      <c r="D263" s="12" t="e">
        <f>IF(#REF!&gt;=3,IFERROR(MAX(0,#REF!)/IFERROR(_xlfn.SINGLE(_xlfn.XLOOKUP(B263,MA_ARTICULOS!$A:$A,MA_ARTICULOS!$E:$E,1)),1),0),"")</f>
        <v>#REF!</v>
      </c>
      <c r="E263" s="15" t="s">
        <v>65</v>
      </c>
      <c r="F263" s="22" t="e">
        <f>IF(#REF!&gt;=3,IFERROR(D263*_xlfn.SINGLE(_xlfn.XLOOKUP(B263,MA_ARTICULOS!$A:$A,MA_ARTICULOS!$E:$E,0)),""),"")</f>
        <v>#REF!</v>
      </c>
    </row>
    <row r="264" spans="1:6" x14ac:dyDescent="0.3">
      <c r="A264" s="11" t="e">
        <f>IF(#REF!&gt;=3,#REF!,"")</f>
        <v>#REF!</v>
      </c>
      <c r="B264" s="8">
        <v>11010020</v>
      </c>
      <c r="C264" s="8" t="s">
        <v>80</v>
      </c>
      <c r="D264" s="12" t="e">
        <f>IF(#REF!&gt;=3,IFERROR(MAX(0,#REF!)/IFERROR(_xlfn.SINGLE(_xlfn.XLOOKUP(B264,MA_ARTICULOS!$A:$A,MA_ARTICULOS!$E:$E,1)),1),0),"")</f>
        <v>#REF!</v>
      </c>
      <c r="E264" s="15" t="s">
        <v>65</v>
      </c>
      <c r="F264" s="22" t="e">
        <f>IF(#REF!&gt;=3,IFERROR(D264*_xlfn.SINGLE(_xlfn.XLOOKUP(B264,MA_ARTICULOS!$A:$A,MA_ARTICULOS!$E:$E,0)),""),"")</f>
        <v>#REF!</v>
      </c>
    </row>
    <row r="265" spans="1:6" x14ac:dyDescent="0.3">
      <c r="A265" s="11" t="e">
        <f>IF(#REF!&gt;=3,#REF!,"")</f>
        <v>#REF!</v>
      </c>
      <c r="B265" s="8">
        <v>11010022</v>
      </c>
      <c r="C265" s="8" t="s">
        <v>81</v>
      </c>
      <c r="D265" s="12" t="e">
        <f>IF(#REF!&gt;=3,IFERROR(MAX(0,#REF!)/IFERROR(_xlfn.SINGLE(_xlfn.XLOOKUP(B265,MA_ARTICULOS!$A:$A,MA_ARTICULOS!$E:$E,1)),1),0),"")</f>
        <v>#REF!</v>
      </c>
      <c r="E265" s="15" t="s">
        <v>65</v>
      </c>
      <c r="F265" s="22" t="e">
        <f>IF(#REF!&gt;=3,IFERROR(D265*_xlfn.SINGLE(_xlfn.XLOOKUP(B265,MA_ARTICULOS!$A:$A,MA_ARTICULOS!$E:$E,0)),""),"")</f>
        <v>#REF!</v>
      </c>
    </row>
    <row r="266" spans="1:6" x14ac:dyDescent="0.3">
      <c r="A266" s="11" t="e">
        <f>IF(#REF!&gt;=3,#REF!,"")</f>
        <v>#REF!</v>
      </c>
      <c r="B266" s="8">
        <v>11010023</v>
      </c>
      <c r="C266" s="8" t="s">
        <v>82</v>
      </c>
      <c r="D266" s="12" t="e">
        <f>IF(#REF!&gt;=3,IFERROR(MAX(0,#REF!)/IFERROR(_xlfn.SINGLE(_xlfn.XLOOKUP(B266,MA_ARTICULOS!$A:$A,MA_ARTICULOS!$E:$E,1)),1),0),"")</f>
        <v>#REF!</v>
      </c>
      <c r="E266" s="15" t="s">
        <v>65</v>
      </c>
      <c r="F266" s="22" t="e">
        <f>IF(#REF!&gt;=3,IFERROR(D266*_xlfn.SINGLE(_xlfn.XLOOKUP(B266,MA_ARTICULOS!$A:$A,MA_ARTICULOS!$E:$E,0)),""),"")</f>
        <v>#REF!</v>
      </c>
    </row>
    <row r="267" spans="1:6" x14ac:dyDescent="0.3">
      <c r="A267" s="11" t="e">
        <f>IF(#REF!&gt;=3,#REF!,"")</f>
        <v>#REF!</v>
      </c>
      <c r="B267" s="8">
        <v>11010027</v>
      </c>
      <c r="C267" s="8" t="s">
        <v>83</v>
      </c>
      <c r="D267" s="12" t="e">
        <f>IF(#REF!&gt;=3,IFERROR(MAX(0,#REF!)/IFERROR(_xlfn.SINGLE(_xlfn.XLOOKUP(B267,MA_ARTICULOS!$A:$A,MA_ARTICULOS!$E:$E,1)),1),0),"")</f>
        <v>#REF!</v>
      </c>
      <c r="E267" s="15" t="s">
        <v>65</v>
      </c>
      <c r="F267" s="22" t="e">
        <f>IF(#REF!&gt;=3,IFERROR(D267*_xlfn.SINGLE(_xlfn.XLOOKUP(B267,MA_ARTICULOS!$A:$A,MA_ARTICULOS!$E:$E,0)),""),"")</f>
        <v>#REF!</v>
      </c>
    </row>
    <row r="268" spans="1:6" x14ac:dyDescent="0.3">
      <c r="A268" s="11" t="e">
        <f>IF(#REF!&gt;=3,#REF!,"")</f>
        <v>#REF!</v>
      </c>
      <c r="B268" s="8">
        <v>11010201</v>
      </c>
      <c r="C268" s="8" t="s">
        <v>84</v>
      </c>
      <c r="D268" s="12" t="e">
        <f>IF(#REF!&gt;=3,IFERROR(MAX(0,#REF!)/IFERROR(_xlfn.SINGLE(_xlfn.XLOOKUP(B268,MA_ARTICULOS!$A:$A,MA_ARTICULOS!$E:$E,1)),1),0),"")</f>
        <v>#REF!</v>
      </c>
      <c r="E268" s="15" t="s">
        <v>65</v>
      </c>
      <c r="F268" s="22" t="e">
        <f>IF(#REF!&gt;=3,IFERROR(D268*_xlfn.SINGLE(_xlfn.XLOOKUP(B268,MA_ARTICULOS!$A:$A,MA_ARTICULOS!$E:$E,0)),""),"")</f>
        <v>#REF!</v>
      </c>
    </row>
    <row r="269" spans="1:6" x14ac:dyDescent="0.3">
      <c r="A269" s="11" t="e">
        <f>IF(#REF!&gt;=3,#REF!,"")</f>
        <v>#REF!</v>
      </c>
      <c r="B269" s="8">
        <v>11010202</v>
      </c>
      <c r="C269" s="8" t="s">
        <v>85</v>
      </c>
      <c r="D269" s="12" t="e">
        <f>IF(#REF!&gt;=3,IFERROR(MAX(0,#REF!)/IFERROR(_xlfn.SINGLE(_xlfn.XLOOKUP(B269,MA_ARTICULOS!$A:$A,MA_ARTICULOS!$E:$E,1)),1),0),"")</f>
        <v>#REF!</v>
      </c>
      <c r="E269" s="15" t="s">
        <v>65</v>
      </c>
      <c r="F269" s="22" t="e">
        <f>IF(#REF!&gt;=3,IFERROR(D269*_xlfn.SINGLE(_xlfn.XLOOKUP(B269,MA_ARTICULOS!$A:$A,MA_ARTICULOS!$E:$E,0)),""),"")</f>
        <v>#REF!</v>
      </c>
    </row>
    <row r="270" spans="1:6" x14ac:dyDescent="0.3">
      <c r="A270" s="11" t="e">
        <f>IF(#REF!&gt;=3,#REF!,"")</f>
        <v>#REF!</v>
      </c>
      <c r="B270" s="8">
        <v>11010203</v>
      </c>
      <c r="C270" s="8" t="s">
        <v>86</v>
      </c>
      <c r="D270" s="12" t="e">
        <f>IF(#REF!&gt;=3,IFERROR(MAX(0,#REF!)/IFERROR(_xlfn.SINGLE(_xlfn.XLOOKUP(B270,MA_ARTICULOS!$A:$A,MA_ARTICULOS!$E:$E,1)),1),0),"")</f>
        <v>#REF!</v>
      </c>
      <c r="E270" s="15" t="s">
        <v>65</v>
      </c>
      <c r="F270" s="22" t="e">
        <f>IF(#REF!&gt;=3,IFERROR(D270*_xlfn.SINGLE(_xlfn.XLOOKUP(B270,MA_ARTICULOS!$A:$A,MA_ARTICULOS!$E:$E,0)),""),"")</f>
        <v>#REF!</v>
      </c>
    </row>
    <row r="271" spans="1:6" x14ac:dyDescent="0.3">
      <c r="A271" s="11" t="e">
        <f>IF(#REF!&gt;=3,#REF!,"")</f>
        <v>#REF!</v>
      </c>
      <c r="B271" s="8">
        <v>11010204</v>
      </c>
      <c r="C271" s="8" t="s">
        <v>87</v>
      </c>
      <c r="D271" s="12" t="e">
        <f>IF(#REF!&gt;=3,IFERROR(MAX(0,#REF!)/IFERROR(_xlfn.SINGLE(_xlfn.XLOOKUP(B271,MA_ARTICULOS!$A:$A,MA_ARTICULOS!$E:$E,1)),1),0),"")</f>
        <v>#REF!</v>
      </c>
      <c r="E271" s="15" t="s">
        <v>65</v>
      </c>
      <c r="F271" s="22" t="e">
        <f>IF(#REF!&gt;=3,IFERROR(D271*_xlfn.SINGLE(_xlfn.XLOOKUP(B271,MA_ARTICULOS!$A:$A,MA_ARTICULOS!$E:$E,0)),""),"")</f>
        <v>#REF!</v>
      </c>
    </row>
    <row r="272" spans="1:6" x14ac:dyDescent="0.3">
      <c r="A272" s="11" t="e">
        <f>IF(#REF!&gt;=3,#REF!,"")</f>
        <v>#REF!</v>
      </c>
      <c r="B272" s="8">
        <v>11010301</v>
      </c>
      <c r="C272" s="8" t="s">
        <v>88</v>
      </c>
      <c r="D272" s="12" t="e">
        <f>IF(#REF!&gt;=3,IFERROR(MAX(0,#REF!)/IFERROR(_xlfn.SINGLE(_xlfn.XLOOKUP(B272,MA_ARTICULOS!$A:$A,MA_ARTICULOS!$E:$E,1)),1),0),"")</f>
        <v>#REF!</v>
      </c>
      <c r="E272" s="15" t="s">
        <v>65</v>
      </c>
      <c r="F272" s="22" t="e">
        <f>IF(#REF!&gt;=3,IFERROR(D272*_xlfn.SINGLE(_xlfn.XLOOKUP(B272,MA_ARTICULOS!$A:$A,MA_ARTICULOS!$E:$E,0)),""),"")</f>
        <v>#REF!</v>
      </c>
    </row>
    <row r="273" spans="1:6" x14ac:dyDescent="0.3">
      <c r="A273" s="11" t="e">
        <f>IF(#REF!&gt;=3,#REF!,"")</f>
        <v>#REF!</v>
      </c>
      <c r="B273" s="8">
        <v>11010302</v>
      </c>
      <c r="C273" s="8" t="s">
        <v>89</v>
      </c>
      <c r="D273" s="12" t="e">
        <f>IF(#REF!&gt;=3,IFERROR(MAX(0,#REF!)/IFERROR(_xlfn.SINGLE(_xlfn.XLOOKUP(B273,MA_ARTICULOS!$A:$A,MA_ARTICULOS!$E:$E,1)),1),0),"")</f>
        <v>#REF!</v>
      </c>
      <c r="E273" s="15" t="s">
        <v>65</v>
      </c>
      <c r="F273" s="22" t="e">
        <f>IF(#REF!&gt;=3,IFERROR(D273*_xlfn.SINGLE(_xlfn.XLOOKUP(B273,MA_ARTICULOS!$A:$A,MA_ARTICULOS!$E:$E,0)),""),"")</f>
        <v>#REF!</v>
      </c>
    </row>
    <row r="274" spans="1:6" x14ac:dyDescent="0.3">
      <c r="A274" s="11" t="e">
        <f>IF(#REF!&gt;=3,#REF!,"")</f>
        <v>#REF!</v>
      </c>
      <c r="B274" s="8">
        <v>11010303</v>
      </c>
      <c r="C274" s="8" t="s">
        <v>90</v>
      </c>
      <c r="D274" s="12" t="e">
        <f>IF(#REF!&gt;=3,IFERROR(MAX(0,#REF!)/IFERROR(_xlfn.SINGLE(_xlfn.XLOOKUP(B274,MA_ARTICULOS!$A:$A,MA_ARTICULOS!$E:$E,1)),1),0),"")</f>
        <v>#REF!</v>
      </c>
      <c r="E274" s="15" t="s">
        <v>65</v>
      </c>
      <c r="F274" s="22" t="e">
        <f>IF(#REF!&gt;=3,IFERROR(D274*_xlfn.SINGLE(_xlfn.XLOOKUP(B274,MA_ARTICULOS!$A:$A,MA_ARTICULOS!$E:$E,0)),""),"")</f>
        <v>#REF!</v>
      </c>
    </row>
    <row r="275" spans="1:6" x14ac:dyDescent="0.3">
      <c r="A275" s="11" t="e">
        <f>IF(#REF!&gt;=3,#REF!,"")</f>
        <v>#REF!</v>
      </c>
      <c r="B275" s="8">
        <v>11010304</v>
      </c>
      <c r="C275" s="8" t="s">
        <v>91</v>
      </c>
      <c r="D275" s="12" t="e">
        <f>IF(#REF!&gt;=3,IFERROR(MAX(0,#REF!)/IFERROR(_xlfn.SINGLE(_xlfn.XLOOKUP(B275,MA_ARTICULOS!$A:$A,MA_ARTICULOS!$E:$E,1)),1),0),"")</f>
        <v>#REF!</v>
      </c>
      <c r="E275" s="15" t="s">
        <v>65</v>
      </c>
      <c r="F275" s="22" t="e">
        <f>IF(#REF!&gt;=3,IFERROR(D275*_xlfn.SINGLE(_xlfn.XLOOKUP(B275,MA_ARTICULOS!$A:$A,MA_ARTICULOS!$E:$E,0)),""),"")</f>
        <v>#REF!</v>
      </c>
    </row>
    <row r="276" spans="1:6" x14ac:dyDescent="0.3">
      <c r="A276" s="11" t="e">
        <f>IF(#REF!&gt;=3,#REF!,"")</f>
        <v>#REF!</v>
      </c>
      <c r="B276" s="8">
        <v>11010305</v>
      </c>
      <c r="C276" s="8" t="s">
        <v>92</v>
      </c>
      <c r="D276" s="12" t="e">
        <f>IF(#REF!&gt;=3,IFERROR(MAX(0,#REF!)/IFERROR(_xlfn.SINGLE(_xlfn.XLOOKUP(B276,MA_ARTICULOS!$A:$A,MA_ARTICULOS!$E:$E,1)),1),0),"")</f>
        <v>#REF!</v>
      </c>
      <c r="E276" s="15" t="s">
        <v>65</v>
      </c>
      <c r="F276" s="22" t="e">
        <f>IF(#REF!&gt;=3,IFERROR(D276*_xlfn.SINGLE(_xlfn.XLOOKUP(B276,MA_ARTICULOS!$A:$A,MA_ARTICULOS!$E:$E,0)),""),"")</f>
        <v>#REF!</v>
      </c>
    </row>
    <row r="277" spans="1:6" x14ac:dyDescent="0.3">
      <c r="A277" s="11" t="e">
        <f>IF(#REF!&gt;=3,#REF!,"")</f>
        <v>#REF!</v>
      </c>
      <c r="B277" s="8">
        <v>11010306</v>
      </c>
      <c r="C277" s="8" t="s">
        <v>93</v>
      </c>
      <c r="D277" s="12" t="e">
        <f>IF(#REF!&gt;=3,IFERROR(MAX(0,#REF!)/IFERROR(_xlfn.SINGLE(_xlfn.XLOOKUP(B277,MA_ARTICULOS!$A:$A,MA_ARTICULOS!$E:$E,1)),1),0),"")</f>
        <v>#REF!</v>
      </c>
      <c r="E277" s="15" t="s">
        <v>65</v>
      </c>
      <c r="F277" s="22" t="e">
        <f>IF(#REF!&gt;=3,IFERROR(D277*_xlfn.SINGLE(_xlfn.XLOOKUP(B277,MA_ARTICULOS!$A:$A,MA_ARTICULOS!$E:$E,0)),""),"")</f>
        <v>#REF!</v>
      </c>
    </row>
    <row r="278" spans="1:6" x14ac:dyDescent="0.3">
      <c r="A278" s="11" t="e">
        <f>IF(#REF!&gt;=3,#REF!,"")</f>
        <v>#REF!</v>
      </c>
      <c r="B278" s="8">
        <v>11010307</v>
      </c>
      <c r="C278" s="8" t="s">
        <v>94</v>
      </c>
      <c r="D278" s="12" t="e">
        <f>IF(#REF!&gt;=3,IFERROR(MAX(0,#REF!)/IFERROR(_xlfn.SINGLE(_xlfn.XLOOKUP(B278,MA_ARTICULOS!$A:$A,MA_ARTICULOS!$E:$E,1)),1),0),"")</f>
        <v>#REF!</v>
      </c>
      <c r="E278" s="15" t="s">
        <v>65</v>
      </c>
      <c r="F278" s="22" t="e">
        <f>IF(#REF!&gt;=3,IFERROR(D278*_xlfn.SINGLE(_xlfn.XLOOKUP(B278,MA_ARTICULOS!$A:$A,MA_ARTICULOS!$E:$E,0)),""),"")</f>
        <v>#REF!</v>
      </c>
    </row>
    <row r="279" spans="1:6" x14ac:dyDescent="0.3">
      <c r="A279" s="11" t="e">
        <f>IF(#REF!&gt;=3,#REF!,"")</f>
        <v>#REF!</v>
      </c>
      <c r="B279" s="8">
        <v>11010308</v>
      </c>
      <c r="C279" s="8" t="s">
        <v>95</v>
      </c>
      <c r="D279" s="12" t="e">
        <f>IF(#REF!&gt;=3,IFERROR(MAX(0,#REF!)/IFERROR(_xlfn.SINGLE(_xlfn.XLOOKUP(B279,MA_ARTICULOS!$A:$A,MA_ARTICULOS!$E:$E,1)),1),0),"")</f>
        <v>#REF!</v>
      </c>
      <c r="E279" s="15" t="s">
        <v>65</v>
      </c>
      <c r="F279" s="22" t="e">
        <f>IF(#REF!&gt;=3,IFERROR(D279*_xlfn.SINGLE(_xlfn.XLOOKUP(B279,MA_ARTICULOS!$A:$A,MA_ARTICULOS!$E:$E,0)),""),"")</f>
        <v>#REF!</v>
      </c>
    </row>
    <row r="280" spans="1:6" x14ac:dyDescent="0.3">
      <c r="A280" s="11" t="e">
        <f>IF(#REF!&gt;=3,#REF!,"")</f>
        <v>#REF!</v>
      </c>
      <c r="B280" s="8">
        <v>11010309</v>
      </c>
      <c r="C280" s="8" t="s">
        <v>96</v>
      </c>
      <c r="D280" s="12" t="e">
        <f>IF(#REF!&gt;=3,IFERROR(MAX(0,#REF!)/IFERROR(_xlfn.SINGLE(_xlfn.XLOOKUP(B280,MA_ARTICULOS!$A:$A,MA_ARTICULOS!$E:$E,1)),1),0),"")</f>
        <v>#REF!</v>
      </c>
      <c r="E280" s="15" t="s">
        <v>65</v>
      </c>
      <c r="F280" s="22" t="e">
        <f>IF(#REF!&gt;=3,IFERROR(D280*_xlfn.SINGLE(_xlfn.XLOOKUP(B280,MA_ARTICULOS!$A:$A,MA_ARTICULOS!$E:$E,0)),""),"")</f>
        <v>#REF!</v>
      </c>
    </row>
    <row r="281" spans="1:6" x14ac:dyDescent="0.3">
      <c r="A281" s="11" t="e">
        <f>IF(#REF!&gt;=3,#REF!,"")</f>
        <v>#REF!</v>
      </c>
      <c r="B281" s="8">
        <v>11020001</v>
      </c>
      <c r="C281" s="8" t="s">
        <v>97</v>
      </c>
      <c r="D281" s="12" t="e">
        <f>IF(#REF!&gt;=3,IFERROR(MAX(0,#REF!)/IFERROR(_xlfn.SINGLE(_xlfn.XLOOKUP(B281,MA_ARTICULOS!$A:$A,MA_ARTICULOS!$E:$E,1)),1),0),"")</f>
        <v>#REF!</v>
      </c>
      <c r="E281" s="15" t="s">
        <v>65</v>
      </c>
      <c r="F281" s="22" t="e">
        <f>IF(#REF!&gt;=3,IFERROR(D281*_xlfn.SINGLE(_xlfn.XLOOKUP(B281,MA_ARTICULOS!$A:$A,MA_ARTICULOS!$E:$E,0)),""),"")</f>
        <v>#REF!</v>
      </c>
    </row>
    <row r="282" spans="1:6" x14ac:dyDescent="0.3">
      <c r="A282" s="11" t="e">
        <f>IF(#REF!&gt;=3,#REF!,"")</f>
        <v>#REF!</v>
      </c>
      <c r="B282" s="8">
        <v>11020002</v>
      </c>
      <c r="C282" s="8" t="s">
        <v>98</v>
      </c>
      <c r="D282" s="12" t="e">
        <f>IF(#REF!&gt;=3,IFERROR(MAX(0,#REF!)/IFERROR(_xlfn.SINGLE(_xlfn.XLOOKUP(B282,MA_ARTICULOS!$A:$A,MA_ARTICULOS!$E:$E,1)),1),0),"")</f>
        <v>#REF!</v>
      </c>
      <c r="E282" s="15" t="s">
        <v>65</v>
      </c>
      <c r="F282" s="22" t="e">
        <f>IF(#REF!&gt;=3,IFERROR(D282*_xlfn.SINGLE(_xlfn.XLOOKUP(B282,MA_ARTICULOS!$A:$A,MA_ARTICULOS!$E:$E,0)),""),"")</f>
        <v>#REF!</v>
      </c>
    </row>
    <row r="283" spans="1:6" x14ac:dyDescent="0.3">
      <c r="A283" s="11" t="e">
        <f>IF(#REF!&gt;=3,#REF!,"")</f>
        <v>#REF!</v>
      </c>
      <c r="B283" s="8">
        <v>11020003</v>
      </c>
      <c r="C283" s="8" t="s">
        <v>99</v>
      </c>
      <c r="D283" s="12" t="e">
        <f>IF(#REF!&gt;=3,IFERROR(MAX(0,#REF!)/IFERROR(_xlfn.SINGLE(_xlfn.XLOOKUP(B283,MA_ARTICULOS!$A:$A,MA_ARTICULOS!$E:$E,1)),1),0),"")</f>
        <v>#REF!</v>
      </c>
      <c r="E283" s="15" t="s">
        <v>65</v>
      </c>
      <c r="F283" s="22" t="e">
        <f>IF(#REF!&gt;=3,IFERROR(D283*_xlfn.SINGLE(_xlfn.XLOOKUP(B283,MA_ARTICULOS!$A:$A,MA_ARTICULOS!$E:$E,0)),""),"")</f>
        <v>#REF!</v>
      </c>
    </row>
    <row r="284" spans="1:6" x14ac:dyDescent="0.3">
      <c r="A284" s="11" t="e">
        <f>IF(#REF!&gt;=3,#REF!,"")</f>
        <v>#REF!</v>
      </c>
      <c r="B284" s="8">
        <v>11020004</v>
      </c>
      <c r="C284" s="8" t="s">
        <v>100</v>
      </c>
      <c r="D284" s="12" t="e">
        <f>IF(#REF!&gt;=3,IFERROR(MAX(0,#REF!)/IFERROR(_xlfn.SINGLE(_xlfn.XLOOKUP(B284,MA_ARTICULOS!$A:$A,MA_ARTICULOS!$E:$E,1)),1),0),"")</f>
        <v>#REF!</v>
      </c>
      <c r="E284" s="15" t="s">
        <v>65</v>
      </c>
      <c r="F284" s="22" t="e">
        <f>IF(#REF!&gt;=3,IFERROR(D284*_xlfn.SINGLE(_xlfn.XLOOKUP(B284,MA_ARTICULOS!$A:$A,MA_ARTICULOS!$E:$E,0)),""),"")</f>
        <v>#REF!</v>
      </c>
    </row>
    <row r="285" spans="1:6" x14ac:dyDescent="0.3">
      <c r="A285" s="11" t="e">
        <f>IF(#REF!&gt;=3,#REF!,"")</f>
        <v>#REF!</v>
      </c>
      <c r="B285" s="8">
        <v>11020005</v>
      </c>
      <c r="C285" s="8" t="s">
        <v>101</v>
      </c>
      <c r="D285" s="12" t="e">
        <f>IF(#REF!&gt;=3,IFERROR(MAX(0,#REF!)/IFERROR(_xlfn.SINGLE(_xlfn.XLOOKUP(B285,MA_ARTICULOS!$A:$A,MA_ARTICULOS!$E:$E,1)),1),0),"")</f>
        <v>#REF!</v>
      </c>
      <c r="E285" s="15" t="s">
        <v>65</v>
      </c>
      <c r="F285" s="22" t="e">
        <f>IF(#REF!&gt;=3,IFERROR(D285*_xlfn.SINGLE(_xlfn.XLOOKUP(B285,MA_ARTICULOS!$A:$A,MA_ARTICULOS!$E:$E,0)),""),"")</f>
        <v>#REF!</v>
      </c>
    </row>
    <row r="286" spans="1:6" x14ac:dyDescent="0.3">
      <c r="A286" s="11" t="e">
        <f>IF(#REF!&gt;=3,#REF!,"")</f>
        <v>#REF!</v>
      </c>
      <c r="B286" s="8">
        <v>11020006</v>
      </c>
      <c r="C286" s="8" t="s">
        <v>102</v>
      </c>
      <c r="D286" s="12" t="e">
        <f>IF(#REF!&gt;=3,IFERROR(MAX(0,#REF!)/IFERROR(_xlfn.SINGLE(_xlfn.XLOOKUP(B286,MA_ARTICULOS!$A:$A,MA_ARTICULOS!$E:$E,1)),1),0),"")</f>
        <v>#REF!</v>
      </c>
      <c r="E286" s="15" t="s">
        <v>65</v>
      </c>
      <c r="F286" s="22" t="e">
        <f>IF(#REF!&gt;=3,IFERROR(D286*_xlfn.SINGLE(_xlfn.XLOOKUP(B286,MA_ARTICULOS!$A:$A,MA_ARTICULOS!$E:$E,0)),""),"")</f>
        <v>#REF!</v>
      </c>
    </row>
    <row r="287" spans="1:6" x14ac:dyDescent="0.3">
      <c r="A287" s="11" t="e">
        <f>IF(#REF!&gt;=3,#REF!,"")</f>
        <v>#REF!</v>
      </c>
      <c r="B287" s="8">
        <v>11020007</v>
      </c>
      <c r="C287" s="8" t="s">
        <v>103</v>
      </c>
      <c r="D287" s="12" t="e">
        <f>IF(#REF!&gt;=3,IFERROR(MAX(0,#REF!)/IFERROR(_xlfn.SINGLE(_xlfn.XLOOKUP(B287,MA_ARTICULOS!$A:$A,MA_ARTICULOS!$E:$E,1)),1),0),"")</f>
        <v>#REF!</v>
      </c>
      <c r="E287" s="15" t="s">
        <v>65</v>
      </c>
      <c r="F287" s="22" t="e">
        <f>IF(#REF!&gt;=3,IFERROR(D287*_xlfn.SINGLE(_xlfn.XLOOKUP(B287,MA_ARTICULOS!$A:$A,MA_ARTICULOS!$E:$E,0)),""),"")</f>
        <v>#REF!</v>
      </c>
    </row>
    <row r="288" spans="1:6" x14ac:dyDescent="0.3">
      <c r="A288" s="11" t="e">
        <f>IF(#REF!&gt;=3,#REF!,"")</f>
        <v>#REF!</v>
      </c>
      <c r="B288" s="8">
        <v>11020008</v>
      </c>
      <c r="C288" s="8" t="s">
        <v>104</v>
      </c>
      <c r="D288" s="12" t="e">
        <f>IF(#REF!&gt;=3,IFERROR(MAX(0,#REF!)/IFERROR(_xlfn.SINGLE(_xlfn.XLOOKUP(B288,MA_ARTICULOS!$A:$A,MA_ARTICULOS!$E:$E,1)),1),0),"")</f>
        <v>#REF!</v>
      </c>
      <c r="E288" s="15" t="s">
        <v>65</v>
      </c>
      <c r="F288" s="22" t="e">
        <f>IF(#REF!&gt;=3,IFERROR(D288*_xlfn.SINGLE(_xlfn.XLOOKUP(B288,MA_ARTICULOS!$A:$A,MA_ARTICULOS!$E:$E,0)),""),"")</f>
        <v>#REF!</v>
      </c>
    </row>
    <row r="289" spans="1:6" x14ac:dyDescent="0.3">
      <c r="A289" s="11" t="e">
        <f>IF(#REF!&gt;=3,#REF!,"")</f>
        <v>#REF!</v>
      </c>
      <c r="B289" s="8">
        <v>11020009</v>
      </c>
      <c r="C289" s="8" t="s">
        <v>105</v>
      </c>
      <c r="D289" s="12" t="e">
        <f>IF(#REF!&gt;=3,IFERROR(MAX(0,#REF!)/IFERROR(_xlfn.SINGLE(_xlfn.XLOOKUP(B289,MA_ARTICULOS!$A:$A,MA_ARTICULOS!$E:$E,1)),1),0),"")</f>
        <v>#REF!</v>
      </c>
      <c r="E289" s="15" t="s">
        <v>65</v>
      </c>
      <c r="F289" s="22" t="e">
        <f>IF(#REF!&gt;=3,IFERROR(D289*_xlfn.SINGLE(_xlfn.XLOOKUP(B289,MA_ARTICULOS!$A:$A,MA_ARTICULOS!$E:$E,0)),""),"")</f>
        <v>#REF!</v>
      </c>
    </row>
    <row r="290" spans="1:6" x14ac:dyDescent="0.3">
      <c r="A290" s="11" t="e">
        <f>IF(#REF!&gt;=3,#REF!,"")</f>
        <v>#REF!</v>
      </c>
      <c r="B290" s="8">
        <v>11020010</v>
      </c>
      <c r="C290" s="8" t="s">
        <v>106</v>
      </c>
      <c r="D290" s="12" t="e">
        <f>IF(#REF!&gt;=3,IFERROR(MAX(0,#REF!)/IFERROR(_xlfn.SINGLE(_xlfn.XLOOKUP(B290,MA_ARTICULOS!$A:$A,MA_ARTICULOS!$E:$E,1)),1),0),"")</f>
        <v>#REF!</v>
      </c>
      <c r="E290" s="15" t="s">
        <v>65</v>
      </c>
      <c r="F290" s="22" t="e">
        <f>IF(#REF!&gt;=3,IFERROR(D290*_xlfn.SINGLE(_xlfn.XLOOKUP(B290,MA_ARTICULOS!$A:$A,MA_ARTICULOS!$E:$E,0)),""),"")</f>
        <v>#REF!</v>
      </c>
    </row>
    <row r="291" spans="1:6" x14ac:dyDescent="0.3">
      <c r="A291" s="11" t="e">
        <f>IF(#REF!&gt;=3,#REF!,"")</f>
        <v>#REF!</v>
      </c>
      <c r="B291" s="8">
        <v>11020014</v>
      </c>
      <c r="C291" s="8" t="s">
        <v>107</v>
      </c>
      <c r="D291" s="12" t="e">
        <f>IF(#REF!&gt;=3,IFERROR(MAX(0,#REF!)/IFERROR(_xlfn.SINGLE(_xlfn.XLOOKUP(B291,MA_ARTICULOS!$A:$A,MA_ARTICULOS!$E:$E,1)),1),0),"")</f>
        <v>#REF!</v>
      </c>
      <c r="E291" s="15" t="s">
        <v>65</v>
      </c>
      <c r="F291" s="22" t="e">
        <f>IF(#REF!&gt;=3,IFERROR(D291*_xlfn.SINGLE(_xlfn.XLOOKUP(B291,MA_ARTICULOS!$A:$A,MA_ARTICULOS!$E:$E,0)),""),"")</f>
        <v>#REF!</v>
      </c>
    </row>
    <row r="292" spans="1:6" x14ac:dyDescent="0.3">
      <c r="A292" s="11" t="e">
        <f>IF(#REF!&gt;=3,#REF!,"")</f>
        <v>#REF!</v>
      </c>
      <c r="B292" s="8">
        <v>11020015</v>
      </c>
      <c r="C292" s="8" t="s">
        <v>108</v>
      </c>
      <c r="D292" s="12" t="e">
        <f>IF(#REF!&gt;=3,IFERROR(MAX(0,#REF!)/IFERROR(_xlfn.SINGLE(_xlfn.XLOOKUP(B292,MA_ARTICULOS!$A:$A,MA_ARTICULOS!$E:$E,1)),1),0),"")</f>
        <v>#REF!</v>
      </c>
      <c r="E292" s="15" t="s">
        <v>65</v>
      </c>
      <c r="F292" s="22" t="e">
        <f>IF(#REF!&gt;=3,IFERROR(D292*_xlfn.SINGLE(_xlfn.XLOOKUP(B292,MA_ARTICULOS!$A:$A,MA_ARTICULOS!$E:$E,0)),""),"")</f>
        <v>#REF!</v>
      </c>
    </row>
    <row r="293" spans="1:6" x14ac:dyDescent="0.3">
      <c r="A293" s="11" t="e">
        <f>IF(#REF!&gt;=3,#REF!,"")</f>
        <v>#REF!</v>
      </c>
      <c r="B293" s="8">
        <v>11020016</v>
      </c>
      <c r="C293" s="8" t="s">
        <v>109</v>
      </c>
      <c r="D293" s="12" t="e">
        <f>IF(#REF!&gt;=3,IFERROR(MAX(0,#REF!)/IFERROR(_xlfn.SINGLE(_xlfn.XLOOKUP(B293,MA_ARTICULOS!$A:$A,MA_ARTICULOS!$E:$E,1)),1),0),"")</f>
        <v>#REF!</v>
      </c>
      <c r="E293" s="15" t="s">
        <v>65</v>
      </c>
      <c r="F293" s="22" t="e">
        <f>IF(#REF!&gt;=3,IFERROR(D293*_xlfn.SINGLE(_xlfn.XLOOKUP(B293,MA_ARTICULOS!$A:$A,MA_ARTICULOS!$E:$E,0)),""),"")</f>
        <v>#REF!</v>
      </c>
    </row>
    <row r="294" spans="1:6" x14ac:dyDescent="0.3">
      <c r="A294" s="11" t="e">
        <f>IF(#REF!&gt;=3,#REF!,"")</f>
        <v>#REF!</v>
      </c>
      <c r="B294" s="8">
        <v>12040001</v>
      </c>
      <c r="C294" s="8" t="s">
        <v>110</v>
      </c>
      <c r="D294" s="12" t="e">
        <f>IF(#REF!&gt;=3,IFERROR(MAX(0,#REF!)/IFERROR(_xlfn.SINGLE(_xlfn.XLOOKUP(B294,MA_ARTICULOS!$A:$A,MA_ARTICULOS!$E:$E,1)),1),0),"")</f>
        <v>#REF!</v>
      </c>
      <c r="E294" s="15" t="s">
        <v>65</v>
      </c>
      <c r="F294" s="22" t="e">
        <f>IF(#REF!&gt;=3,IFERROR(D294*_xlfn.SINGLE(_xlfn.XLOOKUP(B294,MA_ARTICULOS!$A:$A,MA_ARTICULOS!$E:$E,0)),""),"")</f>
        <v>#REF!</v>
      </c>
    </row>
    <row r="295" spans="1:6" x14ac:dyDescent="0.3">
      <c r="A295" s="11" t="e">
        <f>IF(#REF!&gt;=3,#REF!,"")</f>
        <v>#REF!</v>
      </c>
      <c r="B295" s="8">
        <v>12040002</v>
      </c>
      <c r="C295" s="8" t="s">
        <v>111</v>
      </c>
      <c r="D295" s="12" t="e">
        <f>IF(#REF!&gt;=3,IFERROR(MAX(0,#REF!)/IFERROR(_xlfn.SINGLE(_xlfn.XLOOKUP(B295,MA_ARTICULOS!$A:$A,MA_ARTICULOS!$E:$E,1)),1),0),"")</f>
        <v>#REF!</v>
      </c>
      <c r="E295" s="15" t="s">
        <v>65</v>
      </c>
      <c r="F295" s="22" t="e">
        <f>IF(#REF!&gt;=3,IFERROR(D295*_xlfn.SINGLE(_xlfn.XLOOKUP(B295,MA_ARTICULOS!$A:$A,MA_ARTICULOS!$E:$E,0)),""),"")</f>
        <v>#REF!</v>
      </c>
    </row>
    <row r="296" spans="1:6" x14ac:dyDescent="0.3">
      <c r="A296" s="11" t="e">
        <f>IF(#REF!&gt;=3,#REF!,"")</f>
        <v>#REF!</v>
      </c>
      <c r="B296" s="8">
        <v>12080001</v>
      </c>
      <c r="C296" s="8" t="s">
        <v>112</v>
      </c>
      <c r="D296" s="12" t="e">
        <f>IF(#REF!&gt;=3,IFERROR(MAX(0,#REF!)/IFERROR(_xlfn.SINGLE(_xlfn.XLOOKUP(B296,MA_ARTICULOS!$A:$A,MA_ARTICULOS!$E:$E,1)),1),0),"")</f>
        <v>#REF!</v>
      </c>
      <c r="E296" s="15" t="s">
        <v>65</v>
      </c>
      <c r="F296" s="22" t="e">
        <f>IF(#REF!&gt;=3,IFERROR(D296*_xlfn.SINGLE(_xlfn.XLOOKUP(B296,MA_ARTICULOS!$A:$A,MA_ARTICULOS!$E:$E,0)),""),"")</f>
        <v>#REF!</v>
      </c>
    </row>
    <row r="297" spans="1:6" x14ac:dyDescent="0.3">
      <c r="A297" s="11" t="e">
        <f>IF(#REF!&gt;=3,#REF!,"")</f>
        <v>#REF!</v>
      </c>
      <c r="B297" s="8">
        <v>12080002</v>
      </c>
      <c r="C297" s="8" t="s">
        <v>113</v>
      </c>
      <c r="D297" s="12" t="e">
        <f>IF(#REF!&gt;=3,IFERROR(MAX(0,#REF!)/IFERROR(_xlfn.SINGLE(_xlfn.XLOOKUP(B297,MA_ARTICULOS!$A:$A,MA_ARTICULOS!$E:$E,1)),1),0),"")</f>
        <v>#REF!</v>
      </c>
      <c r="E297" s="15" t="s">
        <v>65</v>
      </c>
      <c r="F297" s="22" t="e">
        <f>IF(#REF!&gt;=3,IFERROR(D297*_xlfn.SINGLE(_xlfn.XLOOKUP(B297,MA_ARTICULOS!$A:$A,MA_ARTICULOS!$E:$E,0)),""),"")</f>
        <v>#REF!</v>
      </c>
    </row>
    <row r="298" spans="1:6" x14ac:dyDescent="0.3">
      <c r="A298" s="11" t="e">
        <f>IF(#REF!&gt;=3,#REF!,"")</f>
        <v>#REF!</v>
      </c>
      <c r="B298" s="8">
        <v>12080003</v>
      </c>
      <c r="C298" s="8" t="s">
        <v>114</v>
      </c>
      <c r="D298" s="12" t="e">
        <f>IF(#REF!&gt;=3,IFERROR(MAX(0,#REF!)/IFERROR(_xlfn.SINGLE(_xlfn.XLOOKUP(B298,MA_ARTICULOS!$A:$A,MA_ARTICULOS!$E:$E,1)),1),0),"")</f>
        <v>#REF!</v>
      </c>
      <c r="E298" s="15" t="s">
        <v>65</v>
      </c>
      <c r="F298" s="22" t="e">
        <f>IF(#REF!&gt;=3,IFERROR(D298*_xlfn.SINGLE(_xlfn.XLOOKUP(B298,MA_ARTICULOS!$A:$A,MA_ARTICULOS!$E:$E,0)),""),"")</f>
        <v>#REF!</v>
      </c>
    </row>
    <row r="299" spans="1:6" x14ac:dyDescent="0.3">
      <c r="A299" s="11" t="e">
        <f>IF(#REF!&gt;=3,#REF!,"")</f>
        <v>#REF!</v>
      </c>
      <c r="B299" s="8">
        <v>13010007</v>
      </c>
      <c r="C299" s="8" t="s">
        <v>115</v>
      </c>
      <c r="D299" s="12" t="e">
        <f>IF(#REF!&gt;=3,IFERROR(MAX(0,#REF!)/IFERROR(_xlfn.SINGLE(_xlfn.XLOOKUP(B299,MA_ARTICULOS!$A:$A,MA_ARTICULOS!$E:$E,1)),1),0),"")</f>
        <v>#REF!</v>
      </c>
      <c r="E299" s="15" t="s">
        <v>65</v>
      </c>
      <c r="F299" s="22" t="e">
        <f>IF(#REF!&gt;=3,IFERROR(D299*_xlfn.SINGLE(_xlfn.XLOOKUP(B299,MA_ARTICULOS!$A:$A,MA_ARTICULOS!$E:$E,0)),""),"")</f>
        <v>#REF!</v>
      </c>
    </row>
    <row r="300" spans="1:6" x14ac:dyDescent="0.3">
      <c r="A300" s="11" t="e">
        <f>IF(#REF!&gt;=3,#REF!,"")</f>
        <v>#REF!</v>
      </c>
      <c r="B300" s="8">
        <v>13010008</v>
      </c>
      <c r="C300" s="8" t="s">
        <v>116</v>
      </c>
      <c r="D300" s="12" t="e">
        <f>IF(#REF!&gt;=3,IFERROR(MAX(0,#REF!)/IFERROR(_xlfn.SINGLE(_xlfn.XLOOKUP(B300,MA_ARTICULOS!$A:$A,MA_ARTICULOS!$E:$E,1)),1),0),"")</f>
        <v>#REF!</v>
      </c>
      <c r="E300" s="15" t="s">
        <v>65</v>
      </c>
      <c r="F300" s="22" t="e">
        <f>IF(#REF!&gt;=3,IFERROR(D300*_xlfn.SINGLE(_xlfn.XLOOKUP(B300,MA_ARTICULOS!$A:$A,MA_ARTICULOS!$E:$E,0)),""),"")</f>
        <v>#REF!</v>
      </c>
    </row>
    <row r="301" spans="1:6" x14ac:dyDescent="0.3">
      <c r="A301" s="11" t="e">
        <f>IF(#REF!&gt;=3,#REF!,"")</f>
        <v>#REF!</v>
      </c>
      <c r="B301" s="8">
        <v>13019001</v>
      </c>
      <c r="C301" s="8" t="s">
        <v>117</v>
      </c>
      <c r="D301" s="12" t="e">
        <f>IF(#REF!&gt;=3,IFERROR(MAX(0,#REF!)/IFERROR(_xlfn.SINGLE(_xlfn.XLOOKUP(B301,MA_ARTICULOS!$A:$A,MA_ARTICULOS!$E:$E,1)),1),0),"")</f>
        <v>#REF!</v>
      </c>
      <c r="E301" s="15" t="s">
        <v>65</v>
      </c>
      <c r="F301" s="22" t="e">
        <f>IF(#REF!&gt;=3,IFERROR(D301*_xlfn.SINGLE(_xlfn.XLOOKUP(B301,MA_ARTICULOS!$A:$A,MA_ARTICULOS!$E:$E,0)),""),"")</f>
        <v>#REF!</v>
      </c>
    </row>
    <row r="302" spans="1:6" x14ac:dyDescent="0.3">
      <c r="A302" s="11" t="e">
        <f>IF(#REF!&gt;=3,#REF!,"")</f>
        <v>#REF!</v>
      </c>
      <c r="B302" s="8">
        <v>13019002</v>
      </c>
      <c r="C302" s="8" t="s">
        <v>118</v>
      </c>
      <c r="D302" s="12" t="e">
        <f>IF(#REF!&gt;=3,IFERROR(MAX(0,#REF!)/IFERROR(_xlfn.SINGLE(_xlfn.XLOOKUP(B302,MA_ARTICULOS!$A:$A,MA_ARTICULOS!$E:$E,1)),1),0),"")</f>
        <v>#REF!</v>
      </c>
      <c r="E302" s="15" t="s">
        <v>65</v>
      </c>
      <c r="F302" s="22" t="e">
        <f>IF(#REF!&gt;=3,IFERROR(D302*_xlfn.SINGLE(_xlfn.XLOOKUP(B302,MA_ARTICULOS!$A:$A,MA_ARTICULOS!$E:$E,0)),""),"")</f>
        <v>#REF!</v>
      </c>
    </row>
    <row r="303" spans="1:6" x14ac:dyDescent="0.3">
      <c r="A303" s="11" t="e">
        <f>IF(#REF!&gt;=3,#REF!,"")</f>
        <v>#REF!</v>
      </c>
      <c r="B303" s="8">
        <v>13019003</v>
      </c>
      <c r="C303" s="8" t="s">
        <v>119</v>
      </c>
      <c r="D303" s="12" t="e">
        <f>IF(#REF!&gt;=3,IFERROR(MAX(0,#REF!)/IFERROR(_xlfn.SINGLE(_xlfn.XLOOKUP(B303,MA_ARTICULOS!$A:$A,MA_ARTICULOS!$E:$E,1)),1),0),"")</f>
        <v>#REF!</v>
      </c>
      <c r="E303" s="15" t="s">
        <v>65</v>
      </c>
      <c r="F303" s="22" t="e">
        <f>IF(#REF!&gt;=3,IFERROR(D303*_xlfn.SINGLE(_xlfn.XLOOKUP(B303,MA_ARTICULOS!$A:$A,MA_ARTICULOS!$E:$E,0)),""),"")</f>
        <v>#REF!</v>
      </c>
    </row>
    <row r="304" spans="1:6" x14ac:dyDescent="0.3">
      <c r="A304" s="11" t="e">
        <f>IF(#REF!&gt;=3,#REF!,"")</f>
        <v>#REF!</v>
      </c>
      <c r="B304" s="8">
        <v>13019004</v>
      </c>
      <c r="C304" s="8" t="s">
        <v>120</v>
      </c>
      <c r="D304" s="12" t="e">
        <f>IF(#REF!&gt;=3,IFERROR(MAX(0,#REF!)/IFERROR(_xlfn.SINGLE(_xlfn.XLOOKUP(B304,MA_ARTICULOS!$A:$A,MA_ARTICULOS!$E:$E,1)),1),0),"")</f>
        <v>#REF!</v>
      </c>
      <c r="E304" s="15" t="s">
        <v>65</v>
      </c>
      <c r="F304" s="22" t="e">
        <f>IF(#REF!&gt;=3,IFERROR(D304*_xlfn.SINGLE(_xlfn.XLOOKUP(B304,MA_ARTICULOS!$A:$A,MA_ARTICULOS!$E:$E,0)),""),"")</f>
        <v>#REF!</v>
      </c>
    </row>
    <row r="305" spans="1:6" x14ac:dyDescent="0.3">
      <c r="A305" s="11" t="e">
        <f>IF(#REF!&gt;=3,#REF!,"")</f>
        <v>#REF!</v>
      </c>
      <c r="B305" s="8">
        <v>13019005</v>
      </c>
      <c r="C305" s="8" t="s">
        <v>121</v>
      </c>
      <c r="D305" s="12" t="e">
        <f>IF(#REF!&gt;=3,IFERROR(MAX(0,#REF!)/IFERROR(_xlfn.SINGLE(_xlfn.XLOOKUP(B305,MA_ARTICULOS!$A:$A,MA_ARTICULOS!$E:$E,1)),1),0),"")</f>
        <v>#REF!</v>
      </c>
      <c r="E305" s="15" t="s">
        <v>65</v>
      </c>
      <c r="F305" s="22" t="e">
        <f>IF(#REF!&gt;=3,IFERROR(D305*_xlfn.SINGLE(_xlfn.XLOOKUP(B305,MA_ARTICULOS!$A:$A,MA_ARTICULOS!$E:$E,0)),""),"")</f>
        <v>#REF!</v>
      </c>
    </row>
    <row r="306" spans="1:6" x14ac:dyDescent="0.3">
      <c r="A306" s="11" t="e">
        <f>IF(#REF!&gt;=3,#REF!,"")</f>
        <v>#REF!</v>
      </c>
      <c r="B306" s="8">
        <v>13019007</v>
      </c>
      <c r="C306" s="8" t="s">
        <v>122</v>
      </c>
      <c r="D306" s="12" t="e">
        <f>IF(#REF!&gt;=3,IFERROR(MAX(0,#REF!)/IFERROR(_xlfn.SINGLE(_xlfn.XLOOKUP(B306,MA_ARTICULOS!$A:$A,MA_ARTICULOS!$E:$E,1)),1),0),"")</f>
        <v>#REF!</v>
      </c>
      <c r="E306" s="15" t="s">
        <v>65</v>
      </c>
      <c r="F306" s="22" t="e">
        <f>IF(#REF!&gt;=3,IFERROR(D306*_xlfn.SINGLE(_xlfn.XLOOKUP(B306,MA_ARTICULOS!$A:$A,MA_ARTICULOS!$E:$E,0)),""),"")</f>
        <v>#REF!</v>
      </c>
    </row>
    <row r="307" spans="1:6" x14ac:dyDescent="0.3">
      <c r="A307" s="11" t="e">
        <f>IF(#REF!&gt;=3,#REF!,"")</f>
        <v>#REF!</v>
      </c>
      <c r="B307" s="8">
        <v>13019008</v>
      </c>
      <c r="C307" s="8" t="s">
        <v>123</v>
      </c>
      <c r="D307" s="12" t="e">
        <f>IF(#REF!&gt;=3,IFERROR(MAX(0,#REF!)/IFERROR(_xlfn.SINGLE(_xlfn.XLOOKUP(B307,MA_ARTICULOS!$A:$A,MA_ARTICULOS!$E:$E,1)),1),0),"")</f>
        <v>#REF!</v>
      </c>
      <c r="E307" s="15" t="s">
        <v>65</v>
      </c>
      <c r="F307" s="22" t="e">
        <f>IF(#REF!&gt;=3,IFERROR(D307*_xlfn.SINGLE(_xlfn.XLOOKUP(B307,MA_ARTICULOS!$A:$A,MA_ARTICULOS!$E:$E,0)),""),"")</f>
        <v>#REF!</v>
      </c>
    </row>
    <row r="308" spans="1:6" x14ac:dyDescent="0.3">
      <c r="A308" s="11" t="e">
        <f>IF(#REF!&gt;=3,#REF!,"")</f>
        <v>#REF!</v>
      </c>
      <c r="B308" s="8">
        <v>13020004</v>
      </c>
      <c r="C308" s="8" t="s">
        <v>124</v>
      </c>
      <c r="D308" s="12" t="e">
        <f>IF(#REF!&gt;=3,IFERROR(MAX(0,#REF!)/IFERROR(_xlfn.SINGLE(_xlfn.XLOOKUP(B308,MA_ARTICULOS!$A:$A,MA_ARTICULOS!$E:$E,1)),1),0),"")</f>
        <v>#REF!</v>
      </c>
      <c r="E308" s="15" t="s">
        <v>65</v>
      </c>
      <c r="F308" s="22" t="e">
        <f>IF(#REF!&gt;=3,IFERROR(D308*_xlfn.SINGLE(_xlfn.XLOOKUP(B308,MA_ARTICULOS!$A:$A,MA_ARTICULOS!$E:$E,0)),""),"")</f>
        <v>#REF!</v>
      </c>
    </row>
    <row r="309" spans="1:6" x14ac:dyDescent="0.3">
      <c r="A309" s="11" t="e">
        <f>IF(#REF!&gt;=3,#REF!,"")</f>
        <v>#REF!</v>
      </c>
      <c r="B309" s="8">
        <v>13020005</v>
      </c>
      <c r="C309" s="8" t="s">
        <v>125</v>
      </c>
      <c r="D309" s="12" t="e">
        <f>IF(#REF!&gt;=3,IFERROR(MAX(0,#REF!)/IFERROR(_xlfn.SINGLE(_xlfn.XLOOKUP(B309,MA_ARTICULOS!$A:$A,MA_ARTICULOS!$E:$E,1)),1),0),"")</f>
        <v>#REF!</v>
      </c>
      <c r="E309" s="15" t="s">
        <v>65</v>
      </c>
      <c r="F309" s="22" t="e">
        <f>IF(#REF!&gt;=3,IFERROR(D309*_xlfn.SINGLE(_xlfn.XLOOKUP(B309,MA_ARTICULOS!$A:$A,MA_ARTICULOS!$E:$E,0)),""),"")</f>
        <v>#REF!</v>
      </c>
    </row>
    <row r="310" spans="1:6" x14ac:dyDescent="0.3">
      <c r="A310" s="11" t="e">
        <f>IF(#REF!&gt;=3,#REF!,"")</f>
        <v>#REF!</v>
      </c>
      <c r="B310" s="8">
        <v>13040001</v>
      </c>
      <c r="C310" s="8" t="s">
        <v>126</v>
      </c>
      <c r="D310" s="12" t="e">
        <f>IF(#REF!&gt;=3,IFERROR(MAX(0,#REF!)/IFERROR(_xlfn.SINGLE(_xlfn.XLOOKUP(B310,MA_ARTICULOS!$A:$A,MA_ARTICULOS!$E:$E,1)),1),0),"")</f>
        <v>#REF!</v>
      </c>
      <c r="E310" s="15" t="s">
        <v>65</v>
      </c>
      <c r="F310" s="22" t="e">
        <f>IF(#REF!&gt;=3,IFERROR(D310*_xlfn.SINGLE(_xlfn.XLOOKUP(B310,MA_ARTICULOS!$A:$A,MA_ARTICULOS!$E:$E,0)),""),"")</f>
        <v>#REF!</v>
      </c>
    </row>
    <row r="311" spans="1:6" x14ac:dyDescent="0.3">
      <c r="A311" s="11" t="e">
        <f>IF(#REF!&gt;=3,#REF!,"")</f>
        <v>#REF!</v>
      </c>
      <c r="B311" s="8">
        <v>13040002</v>
      </c>
      <c r="C311" s="8" t="s">
        <v>127</v>
      </c>
      <c r="D311" s="12" t="e">
        <f>IF(#REF!&gt;=3,IFERROR(MAX(0,#REF!)/IFERROR(_xlfn.SINGLE(_xlfn.XLOOKUP(B311,MA_ARTICULOS!$A:$A,MA_ARTICULOS!$E:$E,1)),1),0),"")</f>
        <v>#REF!</v>
      </c>
      <c r="E311" s="15" t="s">
        <v>65</v>
      </c>
      <c r="F311" s="22" t="e">
        <f>IF(#REF!&gt;=3,IFERROR(D311*_xlfn.SINGLE(_xlfn.XLOOKUP(B311,MA_ARTICULOS!$A:$A,MA_ARTICULOS!$E:$E,0)),""),"")</f>
        <v>#REF!</v>
      </c>
    </row>
    <row r="312" spans="1:6" x14ac:dyDescent="0.3">
      <c r="A312" s="11" t="e">
        <f>IF(#REF!&gt;=3,#REF!,"")</f>
        <v>#REF!</v>
      </c>
      <c r="B312" s="8">
        <v>13040003</v>
      </c>
      <c r="C312" s="8" t="s">
        <v>128</v>
      </c>
      <c r="D312" s="12" t="e">
        <f>IF(#REF!&gt;=3,IFERROR(MAX(0,#REF!)/IFERROR(_xlfn.SINGLE(_xlfn.XLOOKUP(B312,MA_ARTICULOS!$A:$A,MA_ARTICULOS!$E:$E,1)),1),0),"")</f>
        <v>#REF!</v>
      </c>
      <c r="E312" s="15" t="s">
        <v>65</v>
      </c>
      <c r="F312" s="22" t="e">
        <f>IF(#REF!&gt;=3,IFERROR(D312*_xlfn.SINGLE(_xlfn.XLOOKUP(B312,MA_ARTICULOS!$A:$A,MA_ARTICULOS!$E:$E,0)),""),"")</f>
        <v>#REF!</v>
      </c>
    </row>
    <row r="313" spans="1:6" x14ac:dyDescent="0.3">
      <c r="A313" s="11" t="e">
        <f>IF(#REF!&gt;=3,#REF!,"")</f>
        <v>#REF!</v>
      </c>
      <c r="B313" s="8">
        <v>13040004</v>
      </c>
      <c r="C313" s="8" t="s">
        <v>129</v>
      </c>
      <c r="D313" s="12" t="e">
        <f>IF(#REF!&gt;=3,IFERROR(MAX(0,#REF!)/IFERROR(_xlfn.SINGLE(_xlfn.XLOOKUP(B313,MA_ARTICULOS!$A:$A,MA_ARTICULOS!$E:$E,1)),1),0),"")</f>
        <v>#REF!</v>
      </c>
      <c r="E313" s="15" t="s">
        <v>65</v>
      </c>
      <c r="F313" s="22" t="e">
        <f>IF(#REF!&gt;=3,IFERROR(D313*_xlfn.SINGLE(_xlfn.XLOOKUP(B313,MA_ARTICULOS!$A:$A,MA_ARTICULOS!$E:$E,0)),""),"")</f>
        <v>#REF!</v>
      </c>
    </row>
    <row r="314" spans="1:6" x14ac:dyDescent="0.3">
      <c r="A314" s="11" t="e">
        <f>IF(#REF!&gt;=3,#REF!,"")</f>
        <v>#REF!</v>
      </c>
      <c r="B314" s="8">
        <v>13040005</v>
      </c>
      <c r="C314" s="8" t="s">
        <v>130</v>
      </c>
      <c r="D314" s="12" t="e">
        <f>IF(#REF!&gt;=3,IFERROR(MAX(0,#REF!)/IFERROR(_xlfn.SINGLE(_xlfn.XLOOKUP(B314,MA_ARTICULOS!$A:$A,MA_ARTICULOS!$E:$E,1)),1),0),"")</f>
        <v>#REF!</v>
      </c>
      <c r="E314" s="15" t="s">
        <v>65</v>
      </c>
      <c r="F314" s="22" t="e">
        <f>IF(#REF!&gt;=3,IFERROR(D314*_xlfn.SINGLE(_xlfn.XLOOKUP(B314,MA_ARTICULOS!$A:$A,MA_ARTICULOS!$E:$E,0)),""),"")</f>
        <v>#REF!</v>
      </c>
    </row>
    <row r="315" spans="1:6" x14ac:dyDescent="0.3">
      <c r="A315" s="11" t="e">
        <f>IF(#REF!&gt;=3,#REF!,"")</f>
        <v>#REF!</v>
      </c>
      <c r="B315" s="8">
        <v>13040006</v>
      </c>
      <c r="C315" s="8" t="s">
        <v>131</v>
      </c>
      <c r="D315" s="12" t="e">
        <f>IF(#REF!&gt;=3,IFERROR(MAX(0,#REF!)/IFERROR(_xlfn.SINGLE(_xlfn.XLOOKUP(B315,MA_ARTICULOS!$A:$A,MA_ARTICULOS!$E:$E,1)),1),0),"")</f>
        <v>#REF!</v>
      </c>
      <c r="E315" s="15" t="s">
        <v>65</v>
      </c>
      <c r="F315" s="22" t="e">
        <f>IF(#REF!&gt;=3,IFERROR(D315*_xlfn.SINGLE(_xlfn.XLOOKUP(B315,MA_ARTICULOS!$A:$A,MA_ARTICULOS!$E:$E,0)),""),"")</f>
        <v>#REF!</v>
      </c>
    </row>
    <row r="316" spans="1:6" x14ac:dyDescent="0.3">
      <c r="A316" s="11" t="e">
        <f>IF(#REF!&gt;=3,#REF!,"")</f>
        <v>#REF!</v>
      </c>
      <c r="B316" s="8">
        <v>13040007</v>
      </c>
      <c r="C316" s="8" t="s">
        <v>132</v>
      </c>
      <c r="D316" s="12" t="e">
        <f>IF(#REF!&gt;=3,IFERROR(MAX(0,#REF!)/IFERROR(_xlfn.SINGLE(_xlfn.XLOOKUP(B316,MA_ARTICULOS!$A:$A,MA_ARTICULOS!$E:$E,1)),1),0),"")</f>
        <v>#REF!</v>
      </c>
      <c r="E316" s="15" t="s">
        <v>65</v>
      </c>
      <c r="F316" s="22" t="e">
        <f>IF(#REF!&gt;=3,IFERROR(D316*_xlfn.SINGLE(_xlfn.XLOOKUP(B316,MA_ARTICULOS!$A:$A,MA_ARTICULOS!$E:$E,0)),""),"")</f>
        <v>#REF!</v>
      </c>
    </row>
    <row r="317" spans="1:6" x14ac:dyDescent="0.3">
      <c r="A317" s="11" t="e">
        <f>IF(#REF!&gt;=3,#REF!,"")</f>
        <v>#REF!</v>
      </c>
      <c r="B317" s="8">
        <v>13040008</v>
      </c>
      <c r="C317" s="8" t="s">
        <v>133</v>
      </c>
      <c r="D317" s="12" t="e">
        <f>IF(#REF!&gt;=3,IFERROR(MAX(0,#REF!)/IFERROR(_xlfn.SINGLE(_xlfn.XLOOKUP(B317,MA_ARTICULOS!$A:$A,MA_ARTICULOS!$E:$E,1)),1),0),"")</f>
        <v>#REF!</v>
      </c>
      <c r="E317" s="15" t="s">
        <v>65</v>
      </c>
      <c r="F317" s="22" t="e">
        <f>IF(#REF!&gt;=3,IFERROR(D317*_xlfn.SINGLE(_xlfn.XLOOKUP(B317,MA_ARTICULOS!$A:$A,MA_ARTICULOS!$E:$E,0)),""),"")</f>
        <v>#REF!</v>
      </c>
    </row>
    <row r="318" spans="1:6" x14ac:dyDescent="0.3">
      <c r="A318" s="11" t="e">
        <f>IF(#REF!&gt;=3,#REF!,"")</f>
        <v>#REF!</v>
      </c>
      <c r="B318" s="8">
        <v>13040009</v>
      </c>
      <c r="C318" s="8" t="s">
        <v>134</v>
      </c>
      <c r="D318" s="12" t="e">
        <f>IF(#REF!&gt;=3,IFERROR(MAX(0,#REF!)/IFERROR(_xlfn.SINGLE(_xlfn.XLOOKUP(B318,MA_ARTICULOS!$A:$A,MA_ARTICULOS!$E:$E,1)),1),0),"")</f>
        <v>#REF!</v>
      </c>
      <c r="E318" s="15" t="s">
        <v>65</v>
      </c>
      <c r="F318" s="22" t="e">
        <f>IF(#REF!&gt;=3,IFERROR(D318*_xlfn.SINGLE(_xlfn.XLOOKUP(B318,MA_ARTICULOS!$A:$A,MA_ARTICULOS!$E:$E,0)),""),"")</f>
        <v>#REF!</v>
      </c>
    </row>
    <row r="319" spans="1:6" x14ac:dyDescent="0.3">
      <c r="A319" s="11" t="e">
        <f>IF(#REF!&gt;=3,#REF!,"")</f>
        <v>#REF!</v>
      </c>
      <c r="B319" s="8">
        <v>13040010</v>
      </c>
      <c r="C319" s="8" t="s">
        <v>135</v>
      </c>
      <c r="D319" s="12" t="e">
        <f>IF(#REF!&gt;=3,IFERROR(MAX(0,#REF!)/IFERROR(_xlfn.SINGLE(_xlfn.XLOOKUP(B319,MA_ARTICULOS!$A:$A,MA_ARTICULOS!$E:$E,1)),1),0),"")</f>
        <v>#REF!</v>
      </c>
      <c r="E319" s="15" t="s">
        <v>65</v>
      </c>
      <c r="F319" s="22" t="e">
        <f>IF(#REF!&gt;=3,IFERROR(D319*_xlfn.SINGLE(_xlfn.XLOOKUP(B319,MA_ARTICULOS!$A:$A,MA_ARTICULOS!$E:$E,0)),""),"")</f>
        <v>#REF!</v>
      </c>
    </row>
    <row r="320" spans="1:6" x14ac:dyDescent="0.3">
      <c r="A320" s="11" t="e">
        <f>IF(#REF!&gt;=3,#REF!,"")</f>
        <v>#REF!</v>
      </c>
      <c r="B320" s="8">
        <v>13040011</v>
      </c>
      <c r="C320" s="8" t="s">
        <v>136</v>
      </c>
      <c r="D320" s="12" t="e">
        <f>IF(#REF!&gt;=3,IFERROR(MAX(0,#REF!)/IFERROR(_xlfn.SINGLE(_xlfn.XLOOKUP(B320,MA_ARTICULOS!$A:$A,MA_ARTICULOS!$E:$E,1)),1),0),"")</f>
        <v>#REF!</v>
      </c>
      <c r="E320" s="15" t="s">
        <v>65</v>
      </c>
      <c r="F320" s="22" t="e">
        <f>IF(#REF!&gt;=3,IFERROR(D320*_xlfn.SINGLE(_xlfn.XLOOKUP(B320,MA_ARTICULOS!$A:$A,MA_ARTICULOS!$E:$E,0)),""),"")</f>
        <v>#REF!</v>
      </c>
    </row>
    <row r="321" spans="1:6" x14ac:dyDescent="0.3">
      <c r="A321" s="11" t="e">
        <f>IF(#REF!&gt;=3,#REF!,"")</f>
        <v>#REF!</v>
      </c>
      <c r="B321" s="8">
        <v>13040012</v>
      </c>
      <c r="C321" s="8" t="s">
        <v>137</v>
      </c>
      <c r="D321" s="12" t="e">
        <f>IF(#REF!&gt;=3,IFERROR(MAX(0,#REF!)/IFERROR(_xlfn.SINGLE(_xlfn.XLOOKUP(B321,MA_ARTICULOS!$A:$A,MA_ARTICULOS!$E:$E,1)),1),0),"")</f>
        <v>#REF!</v>
      </c>
      <c r="E321" s="15" t="s">
        <v>65</v>
      </c>
      <c r="F321" s="22" t="e">
        <f>IF(#REF!&gt;=3,IFERROR(D321*_xlfn.SINGLE(_xlfn.XLOOKUP(B321,MA_ARTICULOS!$A:$A,MA_ARTICULOS!$E:$E,0)),""),"")</f>
        <v>#REF!</v>
      </c>
    </row>
    <row r="322" spans="1:6" x14ac:dyDescent="0.3">
      <c r="A322" s="11" t="e">
        <f>IF(#REF!&gt;=3,#REF!,"")</f>
        <v>#REF!</v>
      </c>
      <c r="B322" s="8">
        <v>13040013</v>
      </c>
      <c r="C322" s="8" t="s">
        <v>138</v>
      </c>
      <c r="D322" s="12" t="e">
        <f>IF(#REF!&gt;=3,IFERROR(MAX(0,#REF!)/IFERROR(_xlfn.SINGLE(_xlfn.XLOOKUP(B322,MA_ARTICULOS!$A:$A,MA_ARTICULOS!$E:$E,1)),1),0),"")</f>
        <v>#REF!</v>
      </c>
      <c r="E322" s="15" t="s">
        <v>65</v>
      </c>
      <c r="F322" s="22" t="e">
        <f>IF(#REF!&gt;=3,IFERROR(D322*_xlfn.SINGLE(_xlfn.XLOOKUP(B322,MA_ARTICULOS!$A:$A,MA_ARTICULOS!$E:$E,0)),""),"")</f>
        <v>#REF!</v>
      </c>
    </row>
    <row r="323" spans="1:6" x14ac:dyDescent="0.3">
      <c r="A323" s="11" t="e">
        <f>IF(#REF!&gt;=3,#REF!,"")</f>
        <v>#REF!</v>
      </c>
      <c r="B323" s="8">
        <v>13040014</v>
      </c>
      <c r="C323" s="8" t="s">
        <v>139</v>
      </c>
      <c r="D323" s="12" t="e">
        <f>IF(#REF!&gt;=3,IFERROR(MAX(0,#REF!)/IFERROR(_xlfn.SINGLE(_xlfn.XLOOKUP(B323,MA_ARTICULOS!$A:$A,MA_ARTICULOS!$E:$E,1)),1),0),"")</f>
        <v>#REF!</v>
      </c>
      <c r="E323" s="15" t="s">
        <v>65</v>
      </c>
      <c r="F323" s="22" t="e">
        <f>IF(#REF!&gt;=3,IFERROR(D323*_xlfn.SINGLE(_xlfn.XLOOKUP(B323,MA_ARTICULOS!$A:$A,MA_ARTICULOS!$E:$E,0)),""),"")</f>
        <v>#REF!</v>
      </c>
    </row>
    <row r="324" spans="1:6" x14ac:dyDescent="0.3">
      <c r="A324" s="11" t="e">
        <f>IF(#REF!&gt;=3,#REF!,"")</f>
        <v>#REF!</v>
      </c>
      <c r="B324" s="8">
        <v>13040015</v>
      </c>
      <c r="C324" s="8" t="s">
        <v>140</v>
      </c>
      <c r="D324" s="12" t="e">
        <f>IF(#REF!&gt;=3,IFERROR(MAX(0,#REF!)/IFERROR(_xlfn.SINGLE(_xlfn.XLOOKUP(B324,MA_ARTICULOS!$A:$A,MA_ARTICULOS!$E:$E,1)),1),0),"")</f>
        <v>#REF!</v>
      </c>
      <c r="E324" s="15" t="s">
        <v>65</v>
      </c>
      <c r="F324" s="22" t="e">
        <f>IF(#REF!&gt;=3,IFERROR(D324*_xlfn.SINGLE(_xlfn.XLOOKUP(B324,MA_ARTICULOS!$A:$A,MA_ARTICULOS!$E:$E,0)),""),"")</f>
        <v>#REF!</v>
      </c>
    </row>
    <row r="325" spans="1:6" x14ac:dyDescent="0.3">
      <c r="A325" s="11" t="e">
        <f>IF(#REF!&gt;=3,#REF!,"")</f>
        <v>#REF!</v>
      </c>
      <c r="B325" s="8">
        <v>13040016</v>
      </c>
      <c r="C325" s="8" t="s">
        <v>141</v>
      </c>
      <c r="D325" s="12" t="e">
        <f>IF(#REF!&gt;=3,IFERROR(MAX(0,#REF!)/IFERROR(_xlfn.SINGLE(_xlfn.XLOOKUP(B325,MA_ARTICULOS!$A:$A,MA_ARTICULOS!$E:$E,1)),1),0),"")</f>
        <v>#REF!</v>
      </c>
      <c r="E325" s="15" t="s">
        <v>65</v>
      </c>
      <c r="F325" s="22" t="e">
        <f>IF(#REF!&gt;=3,IFERROR(D325*_xlfn.SINGLE(_xlfn.XLOOKUP(B325,MA_ARTICULOS!$A:$A,MA_ARTICULOS!$E:$E,0)),""),"")</f>
        <v>#REF!</v>
      </c>
    </row>
    <row r="326" spans="1:6" x14ac:dyDescent="0.3">
      <c r="A326" s="11" t="e">
        <f>IF(#REF!&gt;=3,#REF!,"")</f>
        <v>#REF!</v>
      </c>
      <c r="B326" s="8">
        <v>13040017</v>
      </c>
      <c r="C326" s="8" t="s">
        <v>142</v>
      </c>
      <c r="D326" s="12" t="e">
        <f>IF(#REF!&gt;=3,IFERROR(MAX(0,#REF!)/IFERROR(_xlfn.SINGLE(_xlfn.XLOOKUP(B326,MA_ARTICULOS!$A:$A,MA_ARTICULOS!$E:$E,1)),1),0),"")</f>
        <v>#REF!</v>
      </c>
      <c r="E326" s="15" t="s">
        <v>65</v>
      </c>
      <c r="F326" s="22" t="e">
        <f>IF(#REF!&gt;=3,IFERROR(D326*_xlfn.SINGLE(_xlfn.XLOOKUP(B326,MA_ARTICULOS!$A:$A,MA_ARTICULOS!$E:$E,0)),""),"")</f>
        <v>#REF!</v>
      </c>
    </row>
    <row r="327" spans="1:6" x14ac:dyDescent="0.3">
      <c r="A327" s="11" t="e">
        <f>IF(#REF!&gt;=3,#REF!,"")</f>
        <v>#REF!</v>
      </c>
      <c r="B327" s="8">
        <v>13040018</v>
      </c>
      <c r="C327" s="8" t="s">
        <v>143</v>
      </c>
      <c r="D327" s="12" t="e">
        <f>IF(#REF!&gt;=3,IFERROR(MAX(0,#REF!)/IFERROR(_xlfn.SINGLE(_xlfn.XLOOKUP(B327,MA_ARTICULOS!$A:$A,MA_ARTICULOS!$E:$E,1)),1),0),"")</f>
        <v>#REF!</v>
      </c>
      <c r="E327" s="15" t="s">
        <v>65</v>
      </c>
      <c r="F327" s="22" t="e">
        <f>IF(#REF!&gt;=3,IFERROR(D327*_xlfn.SINGLE(_xlfn.XLOOKUP(B327,MA_ARTICULOS!$A:$A,MA_ARTICULOS!$E:$E,0)),""),"")</f>
        <v>#REF!</v>
      </c>
    </row>
    <row r="328" spans="1:6" x14ac:dyDescent="0.3">
      <c r="A328" s="11" t="e">
        <f>IF(#REF!&gt;=3,#REF!,"")</f>
        <v>#REF!</v>
      </c>
      <c r="B328" s="8">
        <v>13040101</v>
      </c>
      <c r="C328" s="8" t="s">
        <v>144</v>
      </c>
      <c r="D328" s="12" t="e">
        <f>IF(#REF!&gt;=3,IFERROR(MAX(0,#REF!)/IFERROR(_xlfn.SINGLE(_xlfn.XLOOKUP(B328,MA_ARTICULOS!$A:$A,MA_ARTICULOS!$E:$E,1)),1),0),"")</f>
        <v>#REF!</v>
      </c>
      <c r="E328" s="15" t="s">
        <v>65</v>
      </c>
      <c r="F328" s="22" t="e">
        <f>IF(#REF!&gt;=3,IFERROR(D328*_xlfn.SINGLE(_xlfn.XLOOKUP(B328,MA_ARTICULOS!$A:$A,MA_ARTICULOS!$E:$E,0)),""),"")</f>
        <v>#REF!</v>
      </c>
    </row>
    <row r="329" spans="1:6" x14ac:dyDescent="0.3">
      <c r="A329" s="11" t="e">
        <f>IF(#REF!&gt;=3,#REF!,"")</f>
        <v>#REF!</v>
      </c>
      <c r="B329" s="8">
        <v>13040102</v>
      </c>
      <c r="C329" s="8" t="s">
        <v>145</v>
      </c>
      <c r="D329" s="12" t="e">
        <f>IF(#REF!&gt;=3,IFERROR(MAX(0,#REF!)/IFERROR(_xlfn.SINGLE(_xlfn.XLOOKUP(B329,MA_ARTICULOS!$A:$A,MA_ARTICULOS!$E:$E,1)),1),0),"")</f>
        <v>#REF!</v>
      </c>
      <c r="E329" s="15" t="s">
        <v>65</v>
      </c>
      <c r="F329" s="22" t="e">
        <f>IF(#REF!&gt;=3,IFERROR(D329*_xlfn.SINGLE(_xlfn.XLOOKUP(B329,MA_ARTICULOS!$A:$A,MA_ARTICULOS!$E:$E,0)),""),"")</f>
        <v>#REF!</v>
      </c>
    </row>
    <row r="330" spans="1:6" x14ac:dyDescent="0.3">
      <c r="A330" s="11" t="e">
        <f>IF(#REF!&gt;=3,#REF!,"")</f>
        <v>#REF!</v>
      </c>
      <c r="B330" s="8">
        <v>13040103</v>
      </c>
      <c r="C330" s="8" t="s">
        <v>146</v>
      </c>
      <c r="D330" s="12" t="e">
        <f>IF(#REF!&gt;=3,IFERROR(MAX(0,#REF!)/IFERROR(_xlfn.SINGLE(_xlfn.XLOOKUP(B330,MA_ARTICULOS!$A:$A,MA_ARTICULOS!$E:$E,1)),1),0),"")</f>
        <v>#REF!</v>
      </c>
      <c r="E330" s="15" t="s">
        <v>65</v>
      </c>
      <c r="F330" s="22" t="e">
        <f>IF(#REF!&gt;=3,IFERROR(D330*_xlfn.SINGLE(_xlfn.XLOOKUP(B330,MA_ARTICULOS!$A:$A,MA_ARTICULOS!$E:$E,0)),""),"")</f>
        <v>#REF!</v>
      </c>
    </row>
    <row r="331" spans="1:6" x14ac:dyDescent="0.3">
      <c r="A331" s="11" t="e">
        <f>IF(#REF!&gt;=3,#REF!,"")</f>
        <v>#REF!</v>
      </c>
      <c r="B331" s="8">
        <v>13050001</v>
      </c>
      <c r="C331" s="8" t="s">
        <v>147</v>
      </c>
      <c r="D331" s="12" t="e">
        <f>IF(#REF!&gt;=3,IFERROR(MAX(0,#REF!)/IFERROR(_xlfn.SINGLE(_xlfn.XLOOKUP(B331,MA_ARTICULOS!$A:$A,MA_ARTICULOS!$E:$E,1)),1),0),"")</f>
        <v>#REF!</v>
      </c>
      <c r="E331" s="15" t="s">
        <v>65</v>
      </c>
      <c r="F331" s="22" t="e">
        <f>IF(#REF!&gt;=3,IFERROR(D331*_xlfn.SINGLE(_xlfn.XLOOKUP(B331,MA_ARTICULOS!$A:$A,MA_ARTICULOS!$E:$E,0)),""),"")</f>
        <v>#REF!</v>
      </c>
    </row>
    <row r="332" spans="1:6" x14ac:dyDescent="0.3">
      <c r="A332" s="11" t="e">
        <f>IF(#REF!&gt;=3,#REF!,"")</f>
        <v>#REF!</v>
      </c>
      <c r="B332" s="8">
        <v>13050002</v>
      </c>
      <c r="C332" s="8" t="s">
        <v>148</v>
      </c>
      <c r="D332" s="12" t="e">
        <f>IF(#REF!&gt;=3,IFERROR(MAX(0,#REF!)/IFERROR(_xlfn.SINGLE(_xlfn.XLOOKUP(B332,MA_ARTICULOS!$A:$A,MA_ARTICULOS!$E:$E,1)),1),0),"")</f>
        <v>#REF!</v>
      </c>
      <c r="E332" s="15" t="s">
        <v>65</v>
      </c>
      <c r="F332" s="22" t="e">
        <f>IF(#REF!&gt;=3,IFERROR(D332*_xlfn.SINGLE(_xlfn.XLOOKUP(B332,MA_ARTICULOS!$A:$A,MA_ARTICULOS!$E:$E,0)),""),"")</f>
        <v>#REF!</v>
      </c>
    </row>
    <row r="333" spans="1:6" x14ac:dyDescent="0.3">
      <c r="A333" s="11" t="e">
        <f>IF(#REF!&gt;=3,#REF!,"")</f>
        <v>#REF!</v>
      </c>
      <c r="B333" s="8">
        <v>13050003</v>
      </c>
      <c r="C333" s="8" t="s">
        <v>149</v>
      </c>
      <c r="D333" s="12" t="e">
        <f>IF(#REF!&gt;=3,IFERROR(MAX(0,#REF!)/IFERROR(_xlfn.SINGLE(_xlfn.XLOOKUP(B333,MA_ARTICULOS!$A:$A,MA_ARTICULOS!$E:$E,1)),1),0),"")</f>
        <v>#REF!</v>
      </c>
      <c r="E333" s="15" t="s">
        <v>65</v>
      </c>
      <c r="F333" s="22" t="e">
        <f>IF(#REF!&gt;=3,IFERROR(D333*_xlfn.SINGLE(_xlfn.XLOOKUP(B333,MA_ARTICULOS!$A:$A,MA_ARTICULOS!$E:$E,0)),""),"")</f>
        <v>#REF!</v>
      </c>
    </row>
    <row r="334" spans="1:6" x14ac:dyDescent="0.3">
      <c r="A334" s="11" t="e">
        <f>IF(#REF!&gt;=3,#REF!,"")</f>
        <v>#REF!</v>
      </c>
      <c r="B334" s="8">
        <v>13050004</v>
      </c>
      <c r="C334" s="8" t="s">
        <v>150</v>
      </c>
      <c r="D334" s="12" t="e">
        <f>IF(#REF!&gt;=3,IFERROR(MAX(0,#REF!)/IFERROR(_xlfn.SINGLE(_xlfn.XLOOKUP(B334,MA_ARTICULOS!$A:$A,MA_ARTICULOS!$E:$E,1)),1),0),"")</f>
        <v>#REF!</v>
      </c>
      <c r="E334" s="15" t="s">
        <v>65</v>
      </c>
      <c r="F334" s="22" t="e">
        <f>IF(#REF!&gt;=3,IFERROR(D334*_xlfn.SINGLE(_xlfn.XLOOKUP(B334,MA_ARTICULOS!$A:$A,MA_ARTICULOS!$E:$E,0)),""),"")</f>
        <v>#REF!</v>
      </c>
    </row>
    <row r="335" spans="1:6" x14ac:dyDescent="0.3">
      <c r="A335" s="11" t="e">
        <f>IF(#REF!&gt;=3,#REF!,"")</f>
        <v>#REF!</v>
      </c>
      <c r="B335" s="8">
        <v>13050005</v>
      </c>
      <c r="C335" s="8" t="s">
        <v>151</v>
      </c>
      <c r="D335" s="12" t="e">
        <f>IF(#REF!&gt;=3,IFERROR(MAX(0,#REF!)/IFERROR(_xlfn.SINGLE(_xlfn.XLOOKUP(B335,MA_ARTICULOS!$A:$A,MA_ARTICULOS!$E:$E,1)),1),0),"")</f>
        <v>#REF!</v>
      </c>
      <c r="E335" s="15" t="s">
        <v>65</v>
      </c>
      <c r="F335" s="22" t="e">
        <f>IF(#REF!&gt;=3,IFERROR(D335*_xlfn.SINGLE(_xlfn.XLOOKUP(B335,MA_ARTICULOS!$A:$A,MA_ARTICULOS!$E:$E,0)),""),"")</f>
        <v>#REF!</v>
      </c>
    </row>
    <row r="336" spans="1:6" x14ac:dyDescent="0.3">
      <c r="A336" s="11" t="e">
        <f>IF(#REF!&gt;=3,#REF!,"")</f>
        <v>#REF!</v>
      </c>
      <c r="B336" s="8">
        <v>13050006</v>
      </c>
      <c r="C336" s="8" t="s">
        <v>152</v>
      </c>
      <c r="D336" s="12" t="e">
        <f>IF(#REF!&gt;=3,IFERROR(MAX(0,#REF!)/IFERROR(_xlfn.SINGLE(_xlfn.XLOOKUP(B336,MA_ARTICULOS!$A:$A,MA_ARTICULOS!$E:$E,1)),1),0),"")</f>
        <v>#REF!</v>
      </c>
      <c r="E336" s="15" t="s">
        <v>65</v>
      </c>
      <c r="F336" s="22" t="e">
        <f>IF(#REF!&gt;=3,IFERROR(D336*_xlfn.SINGLE(_xlfn.XLOOKUP(B336,MA_ARTICULOS!$A:$A,MA_ARTICULOS!$E:$E,0)),""),"")</f>
        <v>#REF!</v>
      </c>
    </row>
    <row r="337" spans="1:6" x14ac:dyDescent="0.3">
      <c r="A337" s="11" t="e">
        <f>IF(#REF!&gt;=3,#REF!,"")</f>
        <v>#REF!</v>
      </c>
      <c r="B337" s="8">
        <v>13050007</v>
      </c>
      <c r="C337" s="8" t="s">
        <v>153</v>
      </c>
      <c r="D337" s="12" t="e">
        <f>IF(#REF!&gt;=3,IFERROR(MAX(0,#REF!)/IFERROR(_xlfn.SINGLE(_xlfn.XLOOKUP(B337,MA_ARTICULOS!$A:$A,MA_ARTICULOS!$E:$E,1)),1),0),"")</f>
        <v>#REF!</v>
      </c>
      <c r="E337" s="15" t="s">
        <v>65</v>
      </c>
      <c r="F337" s="22" t="e">
        <f>IF(#REF!&gt;=3,IFERROR(D337*_xlfn.SINGLE(_xlfn.XLOOKUP(B337,MA_ARTICULOS!$A:$A,MA_ARTICULOS!$E:$E,0)),""),"")</f>
        <v>#REF!</v>
      </c>
    </row>
    <row r="338" spans="1:6" x14ac:dyDescent="0.3">
      <c r="A338" s="11" t="e">
        <f>IF(#REF!&gt;=3,#REF!,"")</f>
        <v>#REF!</v>
      </c>
      <c r="B338" s="8">
        <v>13050008</v>
      </c>
      <c r="C338" s="8" t="s">
        <v>154</v>
      </c>
      <c r="D338" s="12" t="e">
        <f>IF(#REF!&gt;=3,IFERROR(MAX(0,#REF!)/IFERROR(_xlfn.SINGLE(_xlfn.XLOOKUP(B338,MA_ARTICULOS!$A:$A,MA_ARTICULOS!$E:$E,1)),1),0),"")</f>
        <v>#REF!</v>
      </c>
      <c r="E338" s="15" t="s">
        <v>65</v>
      </c>
      <c r="F338" s="22" t="e">
        <f>IF(#REF!&gt;=3,IFERROR(D338*_xlfn.SINGLE(_xlfn.XLOOKUP(B338,MA_ARTICULOS!$A:$A,MA_ARTICULOS!$E:$E,0)),""),"")</f>
        <v>#REF!</v>
      </c>
    </row>
    <row r="339" spans="1:6" x14ac:dyDescent="0.3">
      <c r="A339" s="11" t="e">
        <f>IF(#REF!&gt;=3,#REF!,"")</f>
        <v>#REF!</v>
      </c>
      <c r="B339" s="8">
        <v>13089001</v>
      </c>
      <c r="C339" s="8" t="s">
        <v>155</v>
      </c>
      <c r="D339" s="12" t="e">
        <f>IF(#REF!&gt;=3,IFERROR(MAX(0,#REF!)/IFERROR(_xlfn.SINGLE(_xlfn.XLOOKUP(B339,MA_ARTICULOS!$A:$A,MA_ARTICULOS!$E:$E,1)),1),0),"")</f>
        <v>#REF!</v>
      </c>
      <c r="E339" s="15" t="s">
        <v>65</v>
      </c>
      <c r="F339" s="22" t="e">
        <f>IF(#REF!&gt;=3,IFERROR(D339*_xlfn.SINGLE(_xlfn.XLOOKUP(B339,MA_ARTICULOS!$A:$A,MA_ARTICULOS!$E:$E,0)),""),"")</f>
        <v>#REF!</v>
      </c>
    </row>
    <row r="340" spans="1:6" x14ac:dyDescent="0.3">
      <c r="A340" s="11" t="e">
        <f>IF(#REF!&gt;=3,#REF!,"")</f>
        <v>#REF!</v>
      </c>
      <c r="B340" s="8">
        <v>13089002</v>
      </c>
      <c r="C340" s="8" t="s">
        <v>156</v>
      </c>
      <c r="D340" s="12" t="e">
        <f>IF(#REF!&gt;=3,IFERROR(MAX(0,#REF!)/IFERROR(_xlfn.SINGLE(_xlfn.XLOOKUP(B340,MA_ARTICULOS!$A:$A,MA_ARTICULOS!$E:$E,1)),1),0),"")</f>
        <v>#REF!</v>
      </c>
      <c r="E340" s="15" t="s">
        <v>65</v>
      </c>
      <c r="F340" s="22" t="e">
        <f>IF(#REF!&gt;=3,IFERROR(D340*_xlfn.SINGLE(_xlfn.XLOOKUP(B340,MA_ARTICULOS!$A:$A,MA_ARTICULOS!$E:$E,0)),""),"")</f>
        <v>#REF!</v>
      </c>
    </row>
    <row r="341" spans="1:6" x14ac:dyDescent="0.3">
      <c r="A341" s="11" t="e">
        <f>IF(#REF!&gt;=3,#REF!,"")</f>
        <v>#REF!</v>
      </c>
      <c r="B341" s="8">
        <v>13089003</v>
      </c>
      <c r="C341" s="8" t="s">
        <v>157</v>
      </c>
      <c r="D341" s="12" t="e">
        <f>IF(#REF!&gt;=3,IFERROR(MAX(0,#REF!)/IFERROR(_xlfn.SINGLE(_xlfn.XLOOKUP(B341,MA_ARTICULOS!$A:$A,MA_ARTICULOS!$E:$E,1)),1),0),"")</f>
        <v>#REF!</v>
      </c>
      <c r="E341" s="15" t="s">
        <v>65</v>
      </c>
      <c r="F341" s="22" t="e">
        <f>IF(#REF!&gt;=3,IFERROR(D341*_xlfn.SINGLE(_xlfn.XLOOKUP(B341,MA_ARTICULOS!$A:$A,MA_ARTICULOS!$E:$E,0)),""),"")</f>
        <v>#REF!</v>
      </c>
    </row>
    <row r="342" spans="1:6" x14ac:dyDescent="0.3">
      <c r="A342" s="11" t="e">
        <f>IF(#REF!&gt;=3,#REF!,"")</f>
        <v>#REF!</v>
      </c>
      <c r="B342" s="8">
        <v>13089004</v>
      </c>
      <c r="C342" s="8" t="s">
        <v>158</v>
      </c>
      <c r="D342" s="12" t="e">
        <f>IF(#REF!&gt;=3,IFERROR(MAX(0,#REF!)/IFERROR(_xlfn.SINGLE(_xlfn.XLOOKUP(B342,MA_ARTICULOS!$A:$A,MA_ARTICULOS!$E:$E,1)),1),0),"")</f>
        <v>#REF!</v>
      </c>
      <c r="E342" s="15" t="s">
        <v>65</v>
      </c>
      <c r="F342" s="22" t="e">
        <f>IF(#REF!&gt;=3,IFERROR(D342*_xlfn.SINGLE(_xlfn.XLOOKUP(B342,MA_ARTICULOS!$A:$A,MA_ARTICULOS!$E:$E,0)),""),"")</f>
        <v>#REF!</v>
      </c>
    </row>
    <row r="343" spans="1:6" x14ac:dyDescent="0.3">
      <c r="A343" s="11" t="e">
        <f>IF(#REF!&gt;=3,#REF!,"")</f>
        <v>#REF!</v>
      </c>
      <c r="B343" s="8">
        <v>13089005</v>
      </c>
      <c r="C343" s="8" t="s">
        <v>159</v>
      </c>
      <c r="D343" s="12" t="e">
        <f>IF(#REF!&gt;=3,IFERROR(MAX(0,#REF!)/IFERROR(_xlfn.SINGLE(_xlfn.XLOOKUP(B343,MA_ARTICULOS!$A:$A,MA_ARTICULOS!$E:$E,1)),1),0),"")</f>
        <v>#REF!</v>
      </c>
      <c r="E343" s="15" t="s">
        <v>65</v>
      </c>
      <c r="F343" s="22" t="e">
        <f>IF(#REF!&gt;=3,IFERROR(D343*_xlfn.SINGLE(_xlfn.XLOOKUP(B343,MA_ARTICULOS!$A:$A,MA_ARTICULOS!$E:$E,0)),""),"")</f>
        <v>#REF!</v>
      </c>
    </row>
    <row r="344" spans="1:6" x14ac:dyDescent="0.3">
      <c r="A344" s="11" t="e">
        <f>IF(#REF!&gt;=3,#REF!,"")</f>
        <v>#REF!</v>
      </c>
      <c r="B344" s="8">
        <v>13089006</v>
      </c>
      <c r="C344" s="8" t="s">
        <v>160</v>
      </c>
      <c r="D344" s="12" t="e">
        <f>IF(#REF!&gt;=3,IFERROR(MAX(0,#REF!)/IFERROR(_xlfn.SINGLE(_xlfn.XLOOKUP(B344,MA_ARTICULOS!$A:$A,MA_ARTICULOS!$E:$E,1)),1),0),"")</f>
        <v>#REF!</v>
      </c>
      <c r="E344" s="15" t="s">
        <v>65</v>
      </c>
      <c r="F344" s="22" t="e">
        <f>IF(#REF!&gt;=3,IFERROR(D344*_xlfn.SINGLE(_xlfn.XLOOKUP(B344,MA_ARTICULOS!$A:$A,MA_ARTICULOS!$E:$E,0)),""),"")</f>
        <v>#REF!</v>
      </c>
    </row>
    <row r="345" spans="1:6" x14ac:dyDescent="0.3">
      <c r="A345" s="11" t="e">
        <f>IF(#REF!&gt;=3,#REF!,"")</f>
        <v>#REF!</v>
      </c>
      <c r="B345" s="8">
        <v>13089007</v>
      </c>
      <c r="C345" s="8" t="s">
        <v>161</v>
      </c>
      <c r="D345" s="12" t="e">
        <f>IF(#REF!&gt;=3,IFERROR(MAX(0,#REF!)/IFERROR(_xlfn.SINGLE(_xlfn.XLOOKUP(B345,MA_ARTICULOS!$A:$A,MA_ARTICULOS!$E:$E,1)),1),0),"")</f>
        <v>#REF!</v>
      </c>
      <c r="E345" s="15" t="s">
        <v>65</v>
      </c>
      <c r="F345" s="22" t="e">
        <f>IF(#REF!&gt;=3,IFERROR(D345*_xlfn.SINGLE(_xlfn.XLOOKUP(B345,MA_ARTICULOS!$A:$A,MA_ARTICULOS!$E:$E,0)),""),"")</f>
        <v>#REF!</v>
      </c>
    </row>
    <row r="346" spans="1:6" x14ac:dyDescent="0.3">
      <c r="A346" s="11" t="e">
        <f>IF(#REF!&gt;=3,#REF!,"")</f>
        <v>#REF!</v>
      </c>
      <c r="B346" s="8">
        <v>13090001</v>
      </c>
      <c r="C346" s="8" t="s">
        <v>162</v>
      </c>
      <c r="D346" s="12" t="e">
        <f>IF(#REF!&gt;=3,IFERROR(MAX(0,#REF!)/IFERROR(_xlfn.SINGLE(_xlfn.XLOOKUP(B346,MA_ARTICULOS!$A:$A,MA_ARTICULOS!$E:$E,1)),1),0),"")</f>
        <v>#REF!</v>
      </c>
      <c r="E346" s="15" t="s">
        <v>65</v>
      </c>
      <c r="F346" s="22" t="e">
        <f>IF(#REF!&gt;=3,IFERROR(D346*_xlfn.SINGLE(_xlfn.XLOOKUP(B346,MA_ARTICULOS!$A:$A,MA_ARTICULOS!$E:$E,0)),""),"")</f>
        <v>#REF!</v>
      </c>
    </row>
    <row r="347" spans="1:6" x14ac:dyDescent="0.3">
      <c r="A347" s="11" t="e">
        <f>IF(#REF!&gt;=3,#REF!,"")</f>
        <v>#REF!</v>
      </c>
      <c r="B347" s="8">
        <v>13090002</v>
      </c>
      <c r="C347" s="8" t="s">
        <v>163</v>
      </c>
      <c r="D347" s="12" t="e">
        <f>IF(#REF!&gt;=3,IFERROR(MAX(0,#REF!)/IFERROR(_xlfn.SINGLE(_xlfn.XLOOKUP(B347,MA_ARTICULOS!$A:$A,MA_ARTICULOS!$E:$E,1)),1),0),"")</f>
        <v>#REF!</v>
      </c>
      <c r="E347" s="15" t="s">
        <v>65</v>
      </c>
      <c r="F347" s="22" t="e">
        <f>IF(#REF!&gt;=3,IFERROR(D347*_xlfn.SINGLE(_xlfn.XLOOKUP(B347,MA_ARTICULOS!$A:$A,MA_ARTICULOS!$E:$E,0)),""),"")</f>
        <v>#REF!</v>
      </c>
    </row>
    <row r="348" spans="1:6" x14ac:dyDescent="0.3">
      <c r="A348" s="11" t="e">
        <f>IF(#REF!&gt;=3,#REF!,"")</f>
        <v>#REF!</v>
      </c>
      <c r="B348" s="8">
        <v>13099001</v>
      </c>
      <c r="C348" s="8" t="s">
        <v>164</v>
      </c>
      <c r="D348" s="12" t="e">
        <f>IF(#REF!&gt;=3,IFERROR(MAX(0,#REF!)/IFERROR(_xlfn.SINGLE(_xlfn.XLOOKUP(B348,MA_ARTICULOS!$A:$A,MA_ARTICULOS!$E:$E,1)),1),0),"")</f>
        <v>#REF!</v>
      </c>
      <c r="E348" s="15" t="s">
        <v>65</v>
      </c>
      <c r="F348" s="22" t="e">
        <f>IF(#REF!&gt;=3,IFERROR(D348*_xlfn.SINGLE(_xlfn.XLOOKUP(B348,MA_ARTICULOS!$A:$A,MA_ARTICULOS!$E:$E,0)),""),"")</f>
        <v>#REF!</v>
      </c>
    </row>
    <row r="349" spans="1:6" x14ac:dyDescent="0.3">
      <c r="A349" s="11" t="e">
        <f>IF(#REF!&gt;=3,#REF!,"")</f>
        <v>#REF!</v>
      </c>
      <c r="B349" s="8">
        <v>13099002</v>
      </c>
      <c r="C349" s="8" t="s">
        <v>165</v>
      </c>
      <c r="D349" s="12" t="e">
        <f>IF(#REF!&gt;=3,IFERROR(MAX(0,#REF!)/IFERROR(_xlfn.SINGLE(_xlfn.XLOOKUP(B349,MA_ARTICULOS!$A:$A,MA_ARTICULOS!$E:$E,1)),1),0),"")</f>
        <v>#REF!</v>
      </c>
      <c r="E349" s="15" t="s">
        <v>65</v>
      </c>
      <c r="F349" s="22" t="e">
        <f>IF(#REF!&gt;=3,IFERROR(D349*_xlfn.SINGLE(_xlfn.XLOOKUP(B349,MA_ARTICULOS!$A:$A,MA_ARTICULOS!$E:$E,0)),""),"")</f>
        <v>#REF!</v>
      </c>
    </row>
    <row r="350" spans="1:6" x14ac:dyDescent="0.3">
      <c r="A350" s="11" t="e">
        <f>IF(#REF!&gt;=3,#REF!,"")</f>
        <v>#REF!</v>
      </c>
      <c r="B350" s="8">
        <v>13110001</v>
      </c>
      <c r="C350" s="8" t="s">
        <v>166</v>
      </c>
      <c r="D350" s="12" t="e">
        <f>IF(#REF!&gt;=3,IFERROR(MAX(0,#REF!)/IFERROR(_xlfn.SINGLE(_xlfn.XLOOKUP(B350,MA_ARTICULOS!$A:$A,MA_ARTICULOS!$E:$E,1)),1),0),"")</f>
        <v>#REF!</v>
      </c>
      <c r="E350" s="15" t="s">
        <v>65</v>
      </c>
      <c r="F350" s="22" t="e">
        <f>IF(#REF!&gt;=3,IFERROR(D350*_xlfn.SINGLE(_xlfn.XLOOKUP(B350,MA_ARTICULOS!$A:$A,MA_ARTICULOS!$E:$E,0)),""),"")</f>
        <v>#REF!</v>
      </c>
    </row>
    <row r="351" spans="1:6" x14ac:dyDescent="0.3">
      <c r="A351" s="11" t="e">
        <f>IF(#REF!&gt;=3,#REF!,"")</f>
        <v>#REF!</v>
      </c>
      <c r="B351" s="8">
        <v>13110002</v>
      </c>
      <c r="C351" s="8" t="s">
        <v>167</v>
      </c>
      <c r="D351" s="12" t="e">
        <f>IF(#REF!&gt;=3,IFERROR(MAX(0,#REF!)/IFERROR(_xlfn.SINGLE(_xlfn.XLOOKUP(B351,MA_ARTICULOS!$A:$A,MA_ARTICULOS!$E:$E,1)),1),0),"")</f>
        <v>#REF!</v>
      </c>
      <c r="E351" s="15" t="s">
        <v>65</v>
      </c>
      <c r="F351" s="22" t="e">
        <f>IF(#REF!&gt;=3,IFERROR(D351*_xlfn.SINGLE(_xlfn.XLOOKUP(B351,MA_ARTICULOS!$A:$A,MA_ARTICULOS!$E:$E,0)),""),"")</f>
        <v>#REF!</v>
      </c>
    </row>
    <row r="352" spans="1:6" x14ac:dyDescent="0.3">
      <c r="A352" s="11" t="e">
        <f>IF(#REF!&gt;=3,#REF!,"")</f>
        <v>#REF!</v>
      </c>
      <c r="B352" s="8">
        <v>13110003</v>
      </c>
      <c r="C352" s="8" t="s">
        <v>168</v>
      </c>
      <c r="D352" s="12" t="e">
        <f>IF(#REF!&gt;=3,IFERROR(MAX(0,#REF!)/IFERROR(_xlfn.SINGLE(_xlfn.XLOOKUP(B352,MA_ARTICULOS!$A:$A,MA_ARTICULOS!$E:$E,1)),1),0),"")</f>
        <v>#REF!</v>
      </c>
      <c r="E352" s="15" t="s">
        <v>65</v>
      </c>
      <c r="F352" s="22" t="e">
        <f>IF(#REF!&gt;=3,IFERROR(D352*_xlfn.SINGLE(_xlfn.XLOOKUP(B352,MA_ARTICULOS!$A:$A,MA_ARTICULOS!$E:$E,0)),""),"")</f>
        <v>#REF!</v>
      </c>
    </row>
    <row r="353" spans="1:6" x14ac:dyDescent="0.3">
      <c r="A353" s="11" t="e">
        <f>IF(#REF!&gt;=3,#REF!,"")</f>
        <v>#REF!</v>
      </c>
      <c r="B353" s="8">
        <v>13110004</v>
      </c>
      <c r="C353" s="8" t="s">
        <v>169</v>
      </c>
      <c r="D353" s="12" t="e">
        <f>IF(#REF!&gt;=3,IFERROR(MAX(0,#REF!)/IFERROR(_xlfn.SINGLE(_xlfn.XLOOKUP(B353,MA_ARTICULOS!$A:$A,MA_ARTICULOS!$E:$E,1)),1),0),"")</f>
        <v>#REF!</v>
      </c>
      <c r="E353" s="15" t="s">
        <v>65</v>
      </c>
      <c r="F353" s="22" t="e">
        <f>IF(#REF!&gt;=3,IFERROR(D353*_xlfn.SINGLE(_xlfn.XLOOKUP(B353,MA_ARTICULOS!$A:$A,MA_ARTICULOS!$E:$E,0)),""),"")</f>
        <v>#REF!</v>
      </c>
    </row>
    <row r="354" spans="1:6" x14ac:dyDescent="0.3">
      <c r="A354" s="11" t="e">
        <f>IF(#REF!&gt;=3,#REF!,"")</f>
        <v>#REF!</v>
      </c>
      <c r="B354" s="8">
        <v>13130001</v>
      </c>
      <c r="C354" s="8" t="s">
        <v>170</v>
      </c>
      <c r="D354" s="12" t="e">
        <f>IF(#REF!&gt;=3,IFERROR(MAX(0,#REF!)/IFERROR(_xlfn.SINGLE(_xlfn.XLOOKUP(B354,MA_ARTICULOS!$A:$A,MA_ARTICULOS!$E:$E,1)),1),0),"")</f>
        <v>#REF!</v>
      </c>
      <c r="E354" s="15" t="s">
        <v>65</v>
      </c>
      <c r="F354" s="22" t="e">
        <f>IF(#REF!&gt;=3,IFERROR(D354*_xlfn.SINGLE(_xlfn.XLOOKUP(B354,MA_ARTICULOS!$A:$A,MA_ARTICULOS!$E:$E,0)),""),"")</f>
        <v>#REF!</v>
      </c>
    </row>
    <row r="355" spans="1:6" x14ac:dyDescent="0.3">
      <c r="A355" s="11" t="e">
        <f>IF(#REF!&gt;=3,#REF!,"")</f>
        <v>#REF!</v>
      </c>
      <c r="B355" s="8">
        <v>13130002</v>
      </c>
      <c r="C355" s="8" t="s">
        <v>171</v>
      </c>
      <c r="D355" s="12" t="e">
        <f>IF(#REF!&gt;=3,IFERROR(MAX(0,#REF!)/IFERROR(_xlfn.SINGLE(_xlfn.XLOOKUP(B355,MA_ARTICULOS!$A:$A,MA_ARTICULOS!$E:$E,1)),1),0),"")</f>
        <v>#REF!</v>
      </c>
      <c r="E355" s="15" t="s">
        <v>65</v>
      </c>
      <c r="F355" s="22" t="e">
        <f>IF(#REF!&gt;=3,IFERROR(D355*_xlfn.SINGLE(_xlfn.XLOOKUP(B355,MA_ARTICULOS!$A:$A,MA_ARTICULOS!$E:$E,0)),""),"")</f>
        <v>#REF!</v>
      </c>
    </row>
    <row r="356" spans="1:6" x14ac:dyDescent="0.3">
      <c r="A356" s="11" t="e">
        <f>IF(#REF!&gt;=3,#REF!,"")</f>
        <v>#REF!</v>
      </c>
      <c r="B356" s="8">
        <v>13130003</v>
      </c>
      <c r="C356" s="8" t="s">
        <v>172</v>
      </c>
      <c r="D356" s="12" t="e">
        <f>IF(#REF!&gt;=3,IFERROR(MAX(0,#REF!)/IFERROR(_xlfn.SINGLE(_xlfn.XLOOKUP(B356,MA_ARTICULOS!$A:$A,MA_ARTICULOS!$E:$E,1)),1),0),"")</f>
        <v>#REF!</v>
      </c>
      <c r="E356" s="15" t="s">
        <v>65</v>
      </c>
      <c r="F356" s="22" t="e">
        <f>IF(#REF!&gt;=3,IFERROR(D356*_xlfn.SINGLE(_xlfn.XLOOKUP(B356,MA_ARTICULOS!$A:$A,MA_ARTICULOS!$E:$E,0)),""),"")</f>
        <v>#REF!</v>
      </c>
    </row>
    <row r="357" spans="1:6" x14ac:dyDescent="0.3">
      <c r="A357" s="11" t="e">
        <f>IF(#REF!&gt;=3,#REF!,"")</f>
        <v>#REF!</v>
      </c>
      <c r="B357" s="8">
        <v>23080001</v>
      </c>
      <c r="C357" s="8" t="s">
        <v>173</v>
      </c>
      <c r="D357" s="12" t="e">
        <f>IF(#REF!&gt;=3,IFERROR(MAX(0,#REF!)/IFERROR(_xlfn.SINGLE(_xlfn.XLOOKUP(B357,MA_ARTICULOS!$A:$A,MA_ARTICULOS!$E:$E,1)),1),0),"")</f>
        <v>#REF!</v>
      </c>
      <c r="E357" s="15" t="s">
        <v>65</v>
      </c>
      <c r="F357" s="22" t="e">
        <f>IF(#REF!&gt;=3,IFERROR(D357*_xlfn.SINGLE(_xlfn.XLOOKUP(B357,MA_ARTICULOS!$A:$A,MA_ARTICULOS!$E:$E,0)),""),"")</f>
        <v>#REF!</v>
      </c>
    </row>
    <row r="358" spans="1:6" x14ac:dyDescent="0.3">
      <c r="A358" s="11" t="e">
        <f>IF(#REF!&gt;=3,#REF!,"")</f>
        <v>#REF!</v>
      </c>
      <c r="B358" s="8">
        <v>23080002</v>
      </c>
      <c r="C358" s="8" t="s">
        <v>174</v>
      </c>
      <c r="D358" s="12" t="e">
        <f>IF(#REF!&gt;=3,IFERROR(MAX(0,#REF!)/IFERROR(_xlfn.SINGLE(_xlfn.XLOOKUP(B358,MA_ARTICULOS!$A:$A,MA_ARTICULOS!$E:$E,1)),1),0),"")</f>
        <v>#REF!</v>
      </c>
      <c r="E358" s="15" t="s">
        <v>65</v>
      </c>
      <c r="F358" s="22" t="e">
        <f>IF(#REF!&gt;=3,IFERROR(D358*_xlfn.SINGLE(_xlfn.XLOOKUP(B358,MA_ARTICULOS!$A:$A,MA_ARTICULOS!$E:$E,0)),""),"")</f>
        <v>#REF!</v>
      </c>
    </row>
    <row r="359" spans="1:6" x14ac:dyDescent="0.3">
      <c r="A359" s="11" t="e">
        <f>IF(#REF!&gt;=3,#REF!,"")</f>
        <v>#REF!</v>
      </c>
      <c r="B359" s="8">
        <v>23080003</v>
      </c>
      <c r="C359" s="8" t="s">
        <v>175</v>
      </c>
      <c r="D359" s="12" t="e">
        <f>IF(#REF!&gt;=3,IFERROR(MAX(0,#REF!)/IFERROR(_xlfn.SINGLE(_xlfn.XLOOKUP(B359,MA_ARTICULOS!$A:$A,MA_ARTICULOS!$E:$E,1)),1),0),"")</f>
        <v>#REF!</v>
      </c>
      <c r="E359" s="15" t="s">
        <v>65</v>
      </c>
      <c r="F359" s="22" t="e">
        <f>IF(#REF!&gt;=3,IFERROR(D359*_xlfn.SINGLE(_xlfn.XLOOKUP(B359,MA_ARTICULOS!$A:$A,MA_ARTICULOS!$E:$E,0)),""),"")</f>
        <v>#REF!</v>
      </c>
    </row>
    <row r="360" spans="1:6" x14ac:dyDescent="0.3">
      <c r="A360" s="11" t="e">
        <f>IF(#REF!&gt;=3,#REF!,"")</f>
        <v>#REF!</v>
      </c>
      <c r="B360" s="8">
        <v>23080004</v>
      </c>
      <c r="C360" s="8" t="s">
        <v>176</v>
      </c>
      <c r="D360" s="12" t="e">
        <f>IF(#REF!&gt;=3,IFERROR(MAX(0,#REF!)/IFERROR(_xlfn.SINGLE(_xlfn.XLOOKUP(B360,MA_ARTICULOS!$A:$A,MA_ARTICULOS!$E:$E,1)),1),0),"")</f>
        <v>#REF!</v>
      </c>
      <c r="E360" s="15" t="s">
        <v>65</v>
      </c>
      <c r="F360" s="22" t="e">
        <f>IF(#REF!&gt;=3,IFERROR(D360*_xlfn.SINGLE(_xlfn.XLOOKUP(B360,MA_ARTICULOS!$A:$A,MA_ARTICULOS!$E:$E,0)),""),"")</f>
        <v>#REF!</v>
      </c>
    </row>
    <row r="361" spans="1:6" x14ac:dyDescent="0.3">
      <c r="A361" s="11" t="e">
        <f>IF(#REF!&gt;=3,#REF!,"")</f>
        <v>#REF!</v>
      </c>
      <c r="B361" s="8">
        <v>23080005</v>
      </c>
      <c r="C361" s="8" t="s">
        <v>177</v>
      </c>
      <c r="D361" s="12" t="e">
        <f>IF(#REF!&gt;=3,IFERROR(MAX(0,#REF!)/IFERROR(_xlfn.SINGLE(_xlfn.XLOOKUP(B361,MA_ARTICULOS!$A:$A,MA_ARTICULOS!$E:$E,1)),1),0),"")</f>
        <v>#REF!</v>
      </c>
      <c r="E361" s="15" t="s">
        <v>65</v>
      </c>
      <c r="F361" s="22" t="e">
        <f>IF(#REF!&gt;=3,IFERROR(D361*_xlfn.SINGLE(_xlfn.XLOOKUP(B361,MA_ARTICULOS!$A:$A,MA_ARTICULOS!$E:$E,0)),""),"")</f>
        <v>#REF!</v>
      </c>
    </row>
    <row r="362" spans="1:6" x14ac:dyDescent="0.3">
      <c r="A362" s="11" t="e">
        <f>IF(#REF!&gt;=3,#REF!,"")</f>
        <v>#REF!</v>
      </c>
      <c r="B362" s="8">
        <v>23080006</v>
      </c>
      <c r="C362" s="8" t="s">
        <v>178</v>
      </c>
      <c r="D362" s="12" t="e">
        <f>IF(#REF!&gt;=3,IFERROR(MAX(0,#REF!)/IFERROR(_xlfn.SINGLE(_xlfn.XLOOKUP(B362,MA_ARTICULOS!$A:$A,MA_ARTICULOS!$E:$E,1)),1),0),"")</f>
        <v>#REF!</v>
      </c>
      <c r="E362" s="15" t="s">
        <v>65</v>
      </c>
      <c r="F362" s="22" t="e">
        <f>IF(#REF!&gt;=3,IFERROR(D362*_xlfn.SINGLE(_xlfn.XLOOKUP(B362,MA_ARTICULOS!$A:$A,MA_ARTICULOS!$E:$E,0)),""),"")</f>
        <v>#REF!</v>
      </c>
    </row>
    <row r="363" spans="1:6" x14ac:dyDescent="0.3">
      <c r="A363" s="11" t="e">
        <f>IF(#REF!&gt;=3,#REF!,"")</f>
        <v>#REF!</v>
      </c>
      <c r="B363" s="8">
        <v>23080007</v>
      </c>
      <c r="C363" s="8" t="s">
        <v>179</v>
      </c>
      <c r="D363" s="12" t="e">
        <f>IF(#REF!&gt;=3,IFERROR(MAX(0,#REF!)/IFERROR(_xlfn.SINGLE(_xlfn.XLOOKUP(B363,MA_ARTICULOS!$A:$A,MA_ARTICULOS!$E:$E,1)),1),0),"")</f>
        <v>#REF!</v>
      </c>
      <c r="E363" s="15" t="s">
        <v>65</v>
      </c>
      <c r="F363" s="22" t="e">
        <f>IF(#REF!&gt;=3,IFERROR(D363*_xlfn.SINGLE(_xlfn.XLOOKUP(B363,MA_ARTICULOS!$A:$A,MA_ARTICULOS!$E:$E,0)),""),"")</f>
        <v>#REF!</v>
      </c>
    </row>
    <row r="364" spans="1:6" x14ac:dyDescent="0.3">
      <c r="A364" s="11" t="e">
        <f>IF(#REF!&gt;=3,#REF!,"")</f>
        <v>#REF!</v>
      </c>
      <c r="B364" s="8">
        <v>101</v>
      </c>
      <c r="C364" s="8" t="s">
        <v>180</v>
      </c>
      <c r="D364" s="12" t="e">
        <f>IF(#REF!&gt;=3,IFERROR(MAX(0,#REF!)/IFERROR(_xlfn.SINGLE(_xlfn.XLOOKUP(B364,MA_ARTICULOS!$A:$A,MA_ARTICULOS!$E:$E,1)),1),0),"")</f>
        <v>#REF!</v>
      </c>
      <c r="E364" s="15" t="s">
        <v>65</v>
      </c>
      <c r="F364" s="22" t="e">
        <f>IF(#REF!&gt;=3,IFERROR(D364*_xlfn.SINGLE(_xlfn.XLOOKUP(B364,MA_ARTICULOS!$A:$A,MA_ARTICULOS!$E:$E,0)),""),"")</f>
        <v>#REF!</v>
      </c>
    </row>
    <row r="365" spans="1:6" x14ac:dyDescent="0.3">
      <c r="A365" s="11" t="e">
        <f>IF(#REF!&gt;=3,#REF!,"")</f>
        <v>#REF!</v>
      </c>
      <c r="B365" s="8">
        <v>102</v>
      </c>
      <c r="C365" s="8" t="s">
        <v>181</v>
      </c>
      <c r="D365" s="12" t="e">
        <f>IF(#REF!&gt;=3,IFERROR(MAX(0,#REF!)/IFERROR(_xlfn.SINGLE(_xlfn.XLOOKUP(B365,MA_ARTICULOS!$A:$A,MA_ARTICULOS!$E:$E,1)),1),0),"")</f>
        <v>#REF!</v>
      </c>
      <c r="E365" s="15" t="s">
        <v>65</v>
      </c>
      <c r="F365" s="22" t="e">
        <f>IF(#REF!&gt;=3,IFERROR(D365*_xlfn.SINGLE(_xlfn.XLOOKUP(B365,MA_ARTICULOS!$A:$A,MA_ARTICULOS!$E:$E,0)),""),"")</f>
        <v>#REF!</v>
      </c>
    </row>
    <row r="366" spans="1:6" x14ac:dyDescent="0.3">
      <c r="A366" s="11" t="e">
        <f>IF(#REF!&gt;=3,#REF!,"")</f>
        <v>#REF!</v>
      </c>
      <c r="B366" s="8">
        <v>104</v>
      </c>
      <c r="C366" s="8" t="s">
        <v>182</v>
      </c>
      <c r="D366" s="12" t="e">
        <f>IF(#REF!&gt;=3,IFERROR(MAX(0,#REF!)/IFERROR(_xlfn.SINGLE(_xlfn.XLOOKUP(B366,MA_ARTICULOS!$A:$A,MA_ARTICULOS!$E:$E,1)),1),0),"")</f>
        <v>#REF!</v>
      </c>
      <c r="E366" s="15" t="s">
        <v>65</v>
      </c>
      <c r="F366" s="22" t="e">
        <f>IF(#REF!&gt;=3,IFERROR(D366*_xlfn.SINGLE(_xlfn.XLOOKUP(B366,MA_ARTICULOS!$A:$A,MA_ARTICULOS!$E:$E,0)),""),"")</f>
        <v>#REF!</v>
      </c>
    </row>
    <row r="367" spans="1:6" x14ac:dyDescent="0.3">
      <c r="A367" s="11" t="e">
        <f>IF(#REF!&gt;=3,#REF!,"")</f>
        <v>#REF!</v>
      </c>
      <c r="B367" s="8">
        <v>105</v>
      </c>
      <c r="C367" s="8" t="s">
        <v>183</v>
      </c>
      <c r="D367" s="12" t="e">
        <f>IF(#REF!&gt;=3,IFERROR(MAX(0,#REF!)/IFERROR(_xlfn.SINGLE(_xlfn.XLOOKUP(B367,MA_ARTICULOS!$A:$A,MA_ARTICULOS!$E:$E,1)),1),0),"")</f>
        <v>#REF!</v>
      </c>
      <c r="E367" s="15" t="s">
        <v>65</v>
      </c>
      <c r="F367" s="22" t="e">
        <f>IF(#REF!&gt;=3,IFERROR(D367*_xlfn.SINGLE(_xlfn.XLOOKUP(B367,MA_ARTICULOS!$A:$A,MA_ARTICULOS!$E:$E,0)),""),"")</f>
        <v>#REF!</v>
      </c>
    </row>
    <row r="368" spans="1:6" x14ac:dyDescent="0.3">
      <c r="A368" s="11" t="e">
        <f>IF(#REF!&gt;=3,#REF!,"")</f>
        <v>#REF!</v>
      </c>
      <c r="B368" s="8">
        <v>106</v>
      </c>
      <c r="C368" s="8" t="s">
        <v>184</v>
      </c>
      <c r="D368" s="12" t="e">
        <f>IF(#REF!&gt;=3,IFERROR(MAX(0,#REF!)/IFERROR(_xlfn.SINGLE(_xlfn.XLOOKUP(B368,MA_ARTICULOS!$A:$A,MA_ARTICULOS!$E:$E,1)),1),0),"")</f>
        <v>#REF!</v>
      </c>
      <c r="E368" s="15" t="s">
        <v>65</v>
      </c>
      <c r="F368" s="22" t="e">
        <f>IF(#REF!&gt;=3,IFERROR(D368*_xlfn.SINGLE(_xlfn.XLOOKUP(B368,MA_ARTICULOS!$A:$A,MA_ARTICULOS!$E:$E,0)),""),"")</f>
        <v>#REF!</v>
      </c>
    </row>
    <row r="369" spans="1:6" x14ac:dyDescent="0.3">
      <c r="A369" s="11" t="e">
        <f>IF(#REF!&gt;=3,#REF!,"")</f>
        <v>#REF!</v>
      </c>
      <c r="B369" s="8">
        <v>120</v>
      </c>
      <c r="C369" s="8" t="s">
        <v>185</v>
      </c>
      <c r="D369" s="12" t="e">
        <f>IF(#REF!&gt;=3,IFERROR(MAX(0,#REF!)/IFERROR(_xlfn.SINGLE(_xlfn.XLOOKUP(B369,MA_ARTICULOS!$A:$A,MA_ARTICULOS!$E:$E,1)),1),0),"")</f>
        <v>#REF!</v>
      </c>
      <c r="E369" s="15" t="s">
        <v>65</v>
      </c>
      <c r="F369" s="22" t="e">
        <f>IF(#REF!&gt;=3,IFERROR(D369*_xlfn.SINGLE(_xlfn.XLOOKUP(B369,MA_ARTICULOS!$A:$A,MA_ARTICULOS!$E:$E,0)),""),"")</f>
        <v>#REF!</v>
      </c>
    </row>
    <row r="370" spans="1:6" x14ac:dyDescent="0.3">
      <c r="A370" s="11" t="e">
        <f>IF(#REF!&gt;=3,#REF!,"")</f>
        <v>#REF!</v>
      </c>
      <c r="B370" s="8">
        <v>121</v>
      </c>
      <c r="C370" s="8" t="s">
        <v>186</v>
      </c>
      <c r="D370" s="12" t="e">
        <f>IF(#REF!&gt;=3,IFERROR(MAX(0,#REF!)/IFERROR(_xlfn.SINGLE(_xlfn.XLOOKUP(B370,MA_ARTICULOS!$A:$A,MA_ARTICULOS!$E:$E,1)),1),0),"")</f>
        <v>#REF!</v>
      </c>
      <c r="E370" s="15" t="s">
        <v>65</v>
      </c>
      <c r="F370" s="22" t="e">
        <f>IF(#REF!&gt;=3,IFERROR(D370*_xlfn.SINGLE(_xlfn.XLOOKUP(B370,MA_ARTICULOS!$A:$A,MA_ARTICULOS!$E:$E,0)),""),"")</f>
        <v>#REF!</v>
      </c>
    </row>
    <row r="371" spans="1:6" x14ac:dyDescent="0.3">
      <c r="A371" s="18" t="s">
        <v>206</v>
      </c>
      <c r="B371" s="14"/>
      <c r="C371" s="14"/>
      <c r="D371" s="14"/>
      <c r="E371" s="14"/>
      <c r="F371" s="21"/>
    </row>
    <row r="372" spans="1:6" x14ac:dyDescent="0.3">
      <c r="A372" s="11" t="e">
        <f>IF(#REF!&gt;=4,#REF!,"")</f>
        <v>#REF!</v>
      </c>
      <c r="B372" s="8">
        <v>11010001</v>
      </c>
      <c r="C372" s="8" t="s">
        <v>64</v>
      </c>
      <c r="D372" s="12" t="e">
        <f>IF(#REF!&gt;=4,IFERROR(MAX(0,#REF!)/IFERROR(_xlfn.SINGLE(_xlfn.XLOOKUP(B372,MA_ARTICULOS!$A:$A,MA_ARTICULOS!$E:$E,1)),1),0),"")</f>
        <v>#REF!</v>
      </c>
      <c r="E372" s="15" t="s">
        <v>65</v>
      </c>
      <c r="F372" s="22" t="e">
        <f>IF(#REF!&gt;=4,IFERROR(D372*_xlfn.SINGLE(_xlfn.XLOOKUP(B372,MA_ARTICULOS!$A:$A,MA_ARTICULOS!$E:$E,0)),""),"")</f>
        <v>#REF!</v>
      </c>
    </row>
    <row r="373" spans="1:6" x14ac:dyDescent="0.3">
      <c r="A373" s="11" t="e">
        <f>IF(#REF!&gt;=4,#REF!,"")</f>
        <v>#REF!</v>
      </c>
      <c r="B373" s="8">
        <v>11010002</v>
      </c>
      <c r="C373" s="8" t="s">
        <v>66</v>
      </c>
      <c r="D373" s="12" t="e">
        <f>IF(#REF!&gt;=4,IFERROR(MAX(0,#REF!)/IFERROR(_xlfn.SINGLE(_xlfn.XLOOKUP(B373,MA_ARTICULOS!$A:$A,MA_ARTICULOS!$E:$E,1)),1),0),"")</f>
        <v>#REF!</v>
      </c>
      <c r="E373" s="15" t="s">
        <v>65</v>
      </c>
      <c r="F373" s="22" t="e">
        <f>IF(#REF!&gt;=4,IFERROR(D373*_xlfn.SINGLE(_xlfn.XLOOKUP(B373,MA_ARTICULOS!$A:$A,MA_ARTICULOS!$E:$E,0)),""),"")</f>
        <v>#REF!</v>
      </c>
    </row>
    <row r="374" spans="1:6" x14ac:dyDescent="0.3">
      <c r="A374" s="11" t="e">
        <f>IF(#REF!&gt;=4,#REF!,"")</f>
        <v>#REF!</v>
      </c>
      <c r="B374" s="8">
        <v>11010003</v>
      </c>
      <c r="C374" s="8" t="s">
        <v>67</v>
      </c>
      <c r="D374" s="12" t="e">
        <f>IF(#REF!&gt;=4,IFERROR(MAX(0,#REF!)/IFERROR(_xlfn.SINGLE(_xlfn.XLOOKUP(B374,MA_ARTICULOS!$A:$A,MA_ARTICULOS!$E:$E,1)),1),0),"")</f>
        <v>#REF!</v>
      </c>
      <c r="E374" s="15" t="s">
        <v>65</v>
      </c>
      <c r="F374" s="22" t="e">
        <f>IF(#REF!&gt;=4,IFERROR(D374*_xlfn.SINGLE(_xlfn.XLOOKUP(B374,MA_ARTICULOS!$A:$A,MA_ARTICULOS!$E:$E,0)),""),"")</f>
        <v>#REF!</v>
      </c>
    </row>
    <row r="375" spans="1:6" x14ac:dyDescent="0.3">
      <c r="A375" s="11" t="e">
        <f>IF(#REF!&gt;=4,#REF!,"")</f>
        <v>#REF!</v>
      </c>
      <c r="B375" s="8">
        <v>11010004</v>
      </c>
      <c r="C375" s="8" t="s">
        <v>68</v>
      </c>
      <c r="D375" s="12" t="e">
        <f>IF(#REF!&gt;=4,IFERROR(MAX(0,#REF!)/IFERROR(_xlfn.SINGLE(_xlfn.XLOOKUP(B375,MA_ARTICULOS!$A:$A,MA_ARTICULOS!$E:$E,1)),1),0),"")</f>
        <v>#REF!</v>
      </c>
      <c r="E375" s="15" t="s">
        <v>65</v>
      </c>
      <c r="F375" s="22" t="e">
        <f>IF(#REF!&gt;=4,IFERROR(D375*_xlfn.SINGLE(_xlfn.XLOOKUP(B375,MA_ARTICULOS!$A:$A,MA_ARTICULOS!$E:$E,0)),""),"")</f>
        <v>#REF!</v>
      </c>
    </row>
    <row r="376" spans="1:6" x14ac:dyDescent="0.3">
      <c r="A376" s="11" t="e">
        <f>IF(#REF!&gt;=4,#REF!,"")</f>
        <v>#REF!</v>
      </c>
      <c r="B376" s="8">
        <v>11010005</v>
      </c>
      <c r="C376" s="8" t="s">
        <v>69</v>
      </c>
      <c r="D376" s="12" t="e">
        <f>IF(#REF!&gt;=4,IFERROR(MAX(0,#REF!)/IFERROR(_xlfn.SINGLE(_xlfn.XLOOKUP(B376,MA_ARTICULOS!$A:$A,MA_ARTICULOS!$E:$E,1)),1),0),"")</f>
        <v>#REF!</v>
      </c>
      <c r="E376" s="15" t="s">
        <v>65</v>
      </c>
      <c r="F376" s="22" t="e">
        <f>IF(#REF!&gt;=4,IFERROR(D376*_xlfn.SINGLE(_xlfn.XLOOKUP(B376,MA_ARTICULOS!$A:$A,MA_ARTICULOS!$E:$E,0)),""),"")</f>
        <v>#REF!</v>
      </c>
    </row>
    <row r="377" spans="1:6" x14ac:dyDescent="0.3">
      <c r="A377" s="11" t="e">
        <f>IF(#REF!&gt;=4,#REF!,"")</f>
        <v>#REF!</v>
      </c>
      <c r="B377" s="8">
        <v>11010007</v>
      </c>
      <c r="C377" s="8" t="s">
        <v>70</v>
      </c>
      <c r="D377" s="12" t="e">
        <f>IF(#REF!&gt;=4,IFERROR(MAX(0,#REF!)/IFERROR(_xlfn.SINGLE(_xlfn.XLOOKUP(B377,MA_ARTICULOS!$A:$A,MA_ARTICULOS!$E:$E,1)),1),0),"")</f>
        <v>#REF!</v>
      </c>
      <c r="E377" s="15" t="s">
        <v>65</v>
      </c>
      <c r="F377" s="22" t="e">
        <f>IF(#REF!&gt;=4,IFERROR(D377*_xlfn.SINGLE(_xlfn.XLOOKUP(B377,MA_ARTICULOS!$A:$A,MA_ARTICULOS!$E:$E,0)),""),"")</f>
        <v>#REF!</v>
      </c>
    </row>
    <row r="378" spans="1:6" x14ac:dyDescent="0.3">
      <c r="A378" s="11" t="e">
        <f>IF(#REF!&gt;=4,#REF!,"")</f>
        <v>#REF!</v>
      </c>
      <c r="B378" s="8">
        <v>11010008</v>
      </c>
      <c r="C378" s="8" t="s">
        <v>71</v>
      </c>
      <c r="D378" s="12" t="e">
        <f>IF(#REF!&gt;=4,IFERROR(MAX(0,#REF!)/IFERROR(_xlfn.SINGLE(_xlfn.XLOOKUP(B378,MA_ARTICULOS!$A:$A,MA_ARTICULOS!$E:$E,1)),1),0),"")</f>
        <v>#REF!</v>
      </c>
      <c r="E378" s="15" t="s">
        <v>65</v>
      </c>
      <c r="F378" s="22" t="e">
        <f>IF(#REF!&gt;=4,IFERROR(D378*_xlfn.SINGLE(_xlfn.XLOOKUP(B378,MA_ARTICULOS!$A:$A,MA_ARTICULOS!$E:$E,0)),""),"")</f>
        <v>#REF!</v>
      </c>
    </row>
    <row r="379" spans="1:6" x14ac:dyDescent="0.3">
      <c r="A379" s="11" t="e">
        <f>IF(#REF!&gt;=4,#REF!,"")</f>
        <v>#REF!</v>
      </c>
      <c r="B379" s="8">
        <v>11010009</v>
      </c>
      <c r="C379" s="8" t="s">
        <v>72</v>
      </c>
      <c r="D379" s="12" t="e">
        <f>IF(#REF!&gt;=4,IFERROR(MAX(0,#REF!)/IFERROR(_xlfn.SINGLE(_xlfn.XLOOKUP(B379,MA_ARTICULOS!$A:$A,MA_ARTICULOS!$E:$E,1)),1),0),"")</f>
        <v>#REF!</v>
      </c>
      <c r="E379" s="15" t="s">
        <v>65</v>
      </c>
      <c r="F379" s="22" t="e">
        <f>IF(#REF!&gt;=4,IFERROR(D379*_xlfn.SINGLE(_xlfn.XLOOKUP(B379,MA_ARTICULOS!$A:$A,MA_ARTICULOS!$E:$E,0)),""),"")</f>
        <v>#REF!</v>
      </c>
    </row>
    <row r="380" spans="1:6" x14ac:dyDescent="0.3">
      <c r="A380" s="11" t="e">
        <f>IF(#REF!&gt;=4,#REF!,"")</f>
        <v>#REF!</v>
      </c>
      <c r="B380" s="8">
        <v>11010010</v>
      </c>
      <c r="C380" s="8" t="s">
        <v>73</v>
      </c>
      <c r="D380" s="12" t="e">
        <f>IF(#REF!&gt;=4,IFERROR(MAX(0,#REF!)/IFERROR(_xlfn.SINGLE(_xlfn.XLOOKUP(B380,MA_ARTICULOS!$A:$A,MA_ARTICULOS!$E:$E,1)),1),0),"")</f>
        <v>#REF!</v>
      </c>
      <c r="E380" s="15" t="s">
        <v>65</v>
      </c>
      <c r="F380" s="22" t="e">
        <f>IF(#REF!&gt;=4,IFERROR(D380*_xlfn.SINGLE(_xlfn.XLOOKUP(B380,MA_ARTICULOS!$A:$A,MA_ARTICULOS!$E:$E,0)),""),"")</f>
        <v>#REF!</v>
      </c>
    </row>
    <row r="381" spans="1:6" x14ac:dyDescent="0.3">
      <c r="A381" s="11" t="e">
        <f>IF(#REF!&gt;=4,#REF!,"")</f>
        <v>#REF!</v>
      </c>
      <c r="B381" s="8">
        <v>11010011</v>
      </c>
      <c r="C381" s="8" t="s">
        <v>74</v>
      </c>
      <c r="D381" s="12" t="e">
        <f>IF(#REF!&gt;=4,IFERROR(MAX(0,#REF!)/IFERROR(_xlfn.SINGLE(_xlfn.XLOOKUP(B381,MA_ARTICULOS!$A:$A,MA_ARTICULOS!$E:$E,1)),1),0),"")</f>
        <v>#REF!</v>
      </c>
      <c r="E381" s="15" t="s">
        <v>65</v>
      </c>
      <c r="F381" s="22" t="e">
        <f>IF(#REF!&gt;=4,IFERROR(D381*_xlfn.SINGLE(_xlfn.XLOOKUP(B381,MA_ARTICULOS!$A:$A,MA_ARTICULOS!$E:$E,0)),""),"")</f>
        <v>#REF!</v>
      </c>
    </row>
    <row r="382" spans="1:6" x14ac:dyDescent="0.3">
      <c r="A382" s="11" t="e">
        <f>IF(#REF!&gt;=4,#REF!,"")</f>
        <v>#REF!</v>
      </c>
      <c r="B382" s="8">
        <v>11010013</v>
      </c>
      <c r="C382" s="8" t="s">
        <v>75</v>
      </c>
      <c r="D382" s="12" t="e">
        <f>IF(#REF!&gt;=4,IFERROR(MAX(0,#REF!)/IFERROR(_xlfn.SINGLE(_xlfn.XLOOKUP(B382,MA_ARTICULOS!$A:$A,MA_ARTICULOS!$E:$E,1)),1),0),"")</f>
        <v>#REF!</v>
      </c>
      <c r="E382" s="15" t="s">
        <v>65</v>
      </c>
      <c r="F382" s="22" t="e">
        <f>IF(#REF!&gt;=4,IFERROR(D382*_xlfn.SINGLE(_xlfn.XLOOKUP(B382,MA_ARTICULOS!$A:$A,MA_ARTICULOS!$E:$E,0)),""),"")</f>
        <v>#REF!</v>
      </c>
    </row>
    <row r="383" spans="1:6" x14ac:dyDescent="0.3">
      <c r="A383" s="11" t="e">
        <f>IF(#REF!&gt;=4,#REF!,"")</f>
        <v>#REF!</v>
      </c>
      <c r="B383" s="8">
        <v>11010014</v>
      </c>
      <c r="C383" s="8" t="s">
        <v>76</v>
      </c>
      <c r="D383" s="12" t="e">
        <f>IF(#REF!&gt;=4,IFERROR(MAX(0,#REF!)/IFERROR(_xlfn.SINGLE(_xlfn.XLOOKUP(B383,MA_ARTICULOS!$A:$A,MA_ARTICULOS!$E:$E,1)),1),0),"")</f>
        <v>#REF!</v>
      </c>
      <c r="E383" s="15" t="s">
        <v>65</v>
      </c>
      <c r="F383" s="22" t="e">
        <f>IF(#REF!&gt;=4,IFERROR(D383*_xlfn.SINGLE(_xlfn.XLOOKUP(B383,MA_ARTICULOS!$A:$A,MA_ARTICULOS!$E:$E,0)),""),"")</f>
        <v>#REF!</v>
      </c>
    </row>
    <row r="384" spans="1:6" x14ac:dyDescent="0.3">
      <c r="A384" s="11" t="e">
        <f>IF(#REF!&gt;=4,#REF!,"")</f>
        <v>#REF!</v>
      </c>
      <c r="B384" s="8">
        <v>11010015</v>
      </c>
      <c r="C384" s="8" t="s">
        <v>77</v>
      </c>
      <c r="D384" s="12" t="e">
        <f>IF(#REF!&gt;=4,IFERROR(MAX(0,#REF!)/IFERROR(_xlfn.SINGLE(_xlfn.XLOOKUP(B384,MA_ARTICULOS!$A:$A,MA_ARTICULOS!$E:$E,1)),1),0),"")</f>
        <v>#REF!</v>
      </c>
      <c r="E384" s="15" t="s">
        <v>65</v>
      </c>
      <c r="F384" s="22" t="e">
        <f>IF(#REF!&gt;=4,IFERROR(D384*_xlfn.SINGLE(_xlfn.XLOOKUP(B384,MA_ARTICULOS!$A:$A,MA_ARTICULOS!$E:$E,0)),""),"")</f>
        <v>#REF!</v>
      </c>
    </row>
    <row r="385" spans="1:6" x14ac:dyDescent="0.3">
      <c r="A385" s="11" t="e">
        <f>IF(#REF!&gt;=4,#REF!,"")</f>
        <v>#REF!</v>
      </c>
      <c r="B385" s="8">
        <v>11010018</v>
      </c>
      <c r="C385" s="8" t="s">
        <v>78</v>
      </c>
      <c r="D385" s="12" t="e">
        <f>IF(#REF!&gt;=4,IFERROR(MAX(0,#REF!)/IFERROR(_xlfn.SINGLE(_xlfn.XLOOKUP(B385,MA_ARTICULOS!$A:$A,MA_ARTICULOS!$E:$E,1)),1),0),"")</f>
        <v>#REF!</v>
      </c>
      <c r="E385" s="15" t="s">
        <v>65</v>
      </c>
      <c r="F385" s="22" t="e">
        <f>IF(#REF!&gt;=4,IFERROR(D385*_xlfn.SINGLE(_xlfn.XLOOKUP(B385,MA_ARTICULOS!$A:$A,MA_ARTICULOS!$E:$E,0)),""),"")</f>
        <v>#REF!</v>
      </c>
    </row>
    <row r="386" spans="1:6" x14ac:dyDescent="0.3">
      <c r="A386" s="11" t="e">
        <f>IF(#REF!&gt;=4,#REF!,"")</f>
        <v>#REF!</v>
      </c>
      <c r="B386" s="8">
        <v>11010019</v>
      </c>
      <c r="C386" s="8" t="s">
        <v>79</v>
      </c>
      <c r="D386" s="12" t="e">
        <f>IF(#REF!&gt;=4,IFERROR(MAX(0,#REF!)/IFERROR(_xlfn.SINGLE(_xlfn.XLOOKUP(B386,MA_ARTICULOS!$A:$A,MA_ARTICULOS!$E:$E,1)),1),0),"")</f>
        <v>#REF!</v>
      </c>
      <c r="E386" s="15" t="s">
        <v>65</v>
      </c>
      <c r="F386" s="22" t="e">
        <f>IF(#REF!&gt;=4,IFERROR(D386*_xlfn.SINGLE(_xlfn.XLOOKUP(B386,MA_ARTICULOS!$A:$A,MA_ARTICULOS!$E:$E,0)),""),"")</f>
        <v>#REF!</v>
      </c>
    </row>
    <row r="387" spans="1:6" x14ac:dyDescent="0.3">
      <c r="A387" s="11" t="e">
        <f>IF(#REF!&gt;=4,#REF!,"")</f>
        <v>#REF!</v>
      </c>
      <c r="B387" s="8">
        <v>11010020</v>
      </c>
      <c r="C387" s="8" t="s">
        <v>80</v>
      </c>
      <c r="D387" s="12" t="e">
        <f>IF(#REF!&gt;=4,IFERROR(MAX(0,#REF!)/IFERROR(_xlfn.SINGLE(_xlfn.XLOOKUP(B387,MA_ARTICULOS!$A:$A,MA_ARTICULOS!$E:$E,1)),1),0),"")</f>
        <v>#REF!</v>
      </c>
      <c r="E387" s="15" t="s">
        <v>65</v>
      </c>
      <c r="F387" s="22" t="e">
        <f>IF(#REF!&gt;=4,IFERROR(D387*_xlfn.SINGLE(_xlfn.XLOOKUP(B387,MA_ARTICULOS!$A:$A,MA_ARTICULOS!$E:$E,0)),""),"")</f>
        <v>#REF!</v>
      </c>
    </row>
    <row r="388" spans="1:6" x14ac:dyDescent="0.3">
      <c r="A388" s="11" t="e">
        <f>IF(#REF!&gt;=4,#REF!,"")</f>
        <v>#REF!</v>
      </c>
      <c r="B388" s="8">
        <v>11010022</v>
      </c>
      <c r="C388" s="8" t="s">
        <v>81</v>
      </c>
      <c r="D388" s="12" t="e">
        <f>IF(#REF!&gt;=4,IFERROR(MAX(0,#REF!)/IFERROR(_xlfn.SINGLE(_xlfn.XLOOKUP(B388,MA_ARTICULOS!$A:$A,MA_ARTICULOS!$E:$E,1)),1),0),"")</f>
        <v>#REF!</v>
      </c>
      <c r="E388" s="15" t="s">
        <v>65</v>
      </c>
      <c r="F388" s="22" t="e">
        <f>IF(#REF!&gt;=4,IFERROR(D388*_xlfn.SINGLE(_xlfn.XLOOKUP(B388,MA_ARTICULOS!$A:$A,MA_ARTICULOS!$E:$E,0)),""),"")</f>
        <v>#REF!</v>
      </c>
    </row>
    <row r="389" spans="1:6" x14ac:dyDescent="0.3">
      <c r="A389" s="11" t="e">
        <f>IF(#REF!&gt;=4,#REF!,"")</f>
        <v>#REF!</v>
      </c>
      <c r="B389" s="8">
        <v>11010023</v>
      </c>
      <c r="C389" s="8" t="s">
        <v>82</v>
      </c>
      <c r="D389" s="12" t="e">
        <f>IF(#REF!&gt;=4,IFERROR(MAX(0,#REF!)/IFERROR(_xlfn.SINGLE(_xlfn.XLOOKUP(B389,MA_ARTICULOS!$A:$A,MA_ARTICULOS!$E:$E,1)),1),0),"")</f>
        <v>#REF!</v>
      </c>
      <c r="E389" s="15" t="s">
        <v>65</v>
      </c>
      <c r="F389" s="22" t="e">
        <f>IF(#REF!&gt;=4,IFERROR(D389*_xlfn.SINGLE(_xlfn.XLOOKUP(B389,MA_ARTICULOS!$A:$A,MA_ARTICULOS!$E:$E,0)),""),"")</f>
        <v>#REF!</v>
      </c>
    </row>
    <row r="390" spans="1:6" x14ac:dyDescent="0.3">
      <c r="A390" s="11" t="e">
        <f>IF(#REF!&gt;=4,#REF!,"")</f>
        <v>#REF!</v>
      </c>
      <c r="B390" s="8">
        <v>11010027</v>
      </c>
      <c r="C390" s="8" t="s">
        <v>83</v>
      </c>
      <c r="D390" s="12" t="e">
        <f>IF(#REF!&gt;=4,IFERROR(MAX(0,#REF!)/IFERROR(_xlfn.SINGLE(_xlfn.XLOOKUP(B390,MA_ARTICULOS!$A:$A,MA_ARTICULOS!$E:$E,1)),1),0),"")</f>
        <v>#REF!</v>
      </c>
      <c r="E390" s="15" t="s">
        <v>65</v>
      </c>
      <c r="F390" s="22" t="e">
        <f>IF(#REF!&gt;=4,IFERROR(D390*_xlfn.SINGLE(_xlfn.XLOOKUP(B390,MA_ARTICULOS!$A:$A,MA_ARTICULOS!$E:$E,0)),""),"")</f>
        <v>#REF!</v>
      </c>
    </row>
    <row r="391" spans="1:6" x14ac:dyDescent="0.3">
      <c r="A391" s="11" t="e">
        <f>IF(#REF!&gt;=4,#REF!,"")</f>
        <v>#REF!</v>
      </c>
      <c r="B391" s="8">
        <v>11010201</v>
      </c>
      <c r="C391" s="8" t="s">
        <v>84</v>
      </c>
      <c r="D391" s="12" t="e">
        <f>IF(#REF!&gt;=4,IFERROR(MAX(0,#REF!)/IFERROR(_xlfn.SINGLE(_xlfn.XLOOKUP(B391,MA_ARTICULOS!$A:$A,MA_ARTICULOS!$E:$E,1)),1),0),"")</f>
        <v>#REF!</v>
      </c>
      <c r="E391" s="15" t="s">
        <v>65</v>
      </c>
      <c r="F391" s="22" t="e">
        <f>IF(#REF!&gt;=4,IFERROR(D391*_xlfn.SINGLE(_xlfn.XLOOKUP(B391,MA_ARTICULOS!$A:$A,MA_ARTICULOS!$E:$E,0)),""),"")</f>
        <v>#REF!</v>
      </c>
    </row>
    <row r="392" spans="1:6" x14ac:dyDescent="0.3">
      <c r="A392" s="11" t="e">
        <f>IF(#REF!&gt;=4,#REF!,"")</f>
        <v>#REF!</v>
      </c>
      <c r="B392" s="8">
        <v>11010202</v>
      </c>
      <c r="C392" s="8" t="s">
        <v>85</v>
      </c>
      <c r="D392" s="12" t="e">
        <f>IF(#REF!&gt;=4,IFERROR(MAX(0,#REF!)/IFERROR(_xlfn.SINGLE(_xlfn.XLOOKUP(B392,MA_ARTICULOS!$A:$A,MA_ARTICULOS!$E:$E,1)),1),0),"")</f>
        <v>#REF!</v>
      </c>
      <c r="E392" s="15" t="s">
        <v>65</v>
      </c>
      <c r="F392" s="22" t="e">
        <f>IF(#REF!&gt;=4,IFERROR(D392*_xlfn.SINGLE(_xlfn.XLOOKUP(B392,MA_ARTICULOS!$A:$A,MA_ARTICULOS!$E:$E,0)),""),"")</f>
        <v>#REF!</v>
      </c>
    </row>
    <row r="393" spans="1:6" x14ac:dyDescent="0.3">
      <c r="A393" s="11" t="e">
        <f>IF(#REF!&gt;=4,#REF!,"")</f>
        <v>#REF!</v>
      </c>
      <c r="B393" s="8">
        <v>11010203</v>
      </c>
      <c r="C393" s="8" t="s">
        <v>86</v>
      </c>
      <c r="D393" s="12" t="e">
        <f>IF(#REF!&gt;=4,IFERROR(MAX(0,#REF!)/IFERROR(_xlfn.SINGLE(_xlfn.XLOOKUP(B393,MA_ARTICULOS!$A:$A,MA_ARTICULOS!$E:$E,1)),1),0),"")</f>
        <v>#REF!</v>
      </c>
      <c r="E393" s="15" t="s">
        <v>65</v>
      </c>
      <c r="F393" s="22" t="e">
        <f>IF(#REF!&gt;=4,IFERROR(D393*_xlfn.SINGLE(_xlfn.XLOOKUP(B393,MA_ARTICULOS!$A:$A,MA_ARTICULOS!$E:$E,0)),""),"")</f>
        <v>#REF!</v>
      </c>
    </row>
    <row r="394" spans="1:6" x14ac:dyDescent="0.3">
      <c r="A394" s="11" t="e">
        <f>IF(#REF!&gt;=4,#REF!,"")</f>
        <v>#REF!</v>
      </c>
      <c r="B394" s="8">
        <v>11010204</v>
      </c>
      <c r="C394" s="8" t="s">
        <v>87</v>
      </c>
      <c r="D394" s="12" t="e">
        <f>IF(#REF!&gt;=4,IFERROR(MAX(0,#REF!)/IFERROR(_xlfn.SINGLE(_xlfn.XLOOKUP(B394,MA_ARTICULOS!$A:$A,MA_ARTICULOS!$E:$E,1)),1),0),"")</f>
        <v>#REF!</v>
      </c>
      <c r="E394" s="15" t="s">
        <v>65</v>
      </c>
      <c r="F394" s="22" t="e">
        <f>IF(#REF!&gt;=4,IFERROR(D394*_xlfn.SINGLE(_xlfn.XLOOKUP(B394,MA_ARTICULOS!$A:$A,MA_ARTICULOS!$E:$E,0)),""),"")</f>
        <v>#REF!</v>
      </c>
    </row>
    <row r="395" spans="1:6" x14ac:dyDescent="0.3">
      <c r="A395" s="11" t="e">
        <f>IF(#REF!&gt;=4,#REF!,"")</f>
        <v>#REF!</v>
      </c>
      <c r="B395" s="8">
        <v>11010301</v>
      </c>
      <c r="C395" s="8" t="s">
        <v>88</v>
      </c>
      <c r="D395" s="12" t="e">
        <f>IF(#REF!&gt;=4,IFERROR(MAX(0,#REF!)/IFERROR(_xlfn.SINGLE(_xlfn.XLOOKUP(B395,MA_ARTICULOS!$A:$A,MA_ARTICULOS!$E:$E,1)),1),0),"")</f>
        <v>#REF!</v>
      </c>
      <c r="E395" s="15" t="s">
        <v>65</v>
      </c>
      <c r="F395" s="22" t="e">
        <f>IF(#REF!&gt;=4,IFERROR(D395*_xlfn.SINGLE(_xlfn.XLOOKUP(B395,MA_ARTICULOS!$A:$A,MA_ARTICULOS!$E:$E,0)),""),"")</f>
        <v>#REF!</v>
      </c>
    </row>
    <row r="396" spans="1:6" x14ac:dyDescent="0.3">
      <c r="A396" s="11" t="e">
        <f>IF(#REF!&gt;=4,#REF!,"")</f>
        <v>#REF!</v>
      </c>
      <c r="B396" s="8">
        <v>11010302</v>
      </c>
      <c r="C396" s="8" t="s">
        <v>89</v>
      </c>
      <c r="D396" s="12" t="e">
        <f>IF(#REF!&gt;=4,IFERROR(MAX(0,#REF!)/IFERROR(_xlfn.SINGLE(_xlfn.XLOOKUP(B396,MA_ARTICULOS!$A:$A,MA_ARTICULOS!$E:$E,1)),1),0),"")</f>
        <v>#REF!</v>
      </c>
      <c r="E396" s="15" t="s">
        <v>65</v>
      </c>
      <c r="F396" s="22" t="e">
        <f>IF(#REF!&gt;=4,IFERROR(D396*_xlfn.SINGLE(_xlfn.XLOOKUP(B396,MA_ARTICULOS!$A:$A,MA_ARTICULOS!$E:$E,0)),""),"")</f>
        <v>#REF!</v>
      </c>
    </row>
    <row r="397" spans="1:6" x14ac:dyDescent="0.3">
      <c r="A397" s="11" t="e">
        <f>IF(#REF!&gt;=4,#REF!,"")</f>
        <v>#REF!</v>
      </c>
      <c r="B397" s="8">
        <v>11010303</v>
      </c>
      <c r="C397" s="8" t="s">
        <v>90</v>
      </c>
      <c r="D397" s="12" t="e">
        <f>IF(#REF!&gt;=4,IFERROR(MAX(0,#REF!)/IFERROR(_xlfn.SINGLE(_xlfn.XLOOKUP(B397,MA_ARTICULOS!$A:$A,MA_ARTICULOS!$E:$E,1)),1),0),"")</f>
        <v>#REF!</v>
      </c>
      <c r="E397" s="15" t="s">
        <v>65</v>
      </c>
      <c r="F397" s="22" t="e">
        <f>IF(#REF!&gt;=4,IFERROR(D397*_xlfn.SINGLE(_xlfn.XLOOKUP(B397,MA_ARTICULOS!$A:$A,MA_ARTICULOS!$E:$E,0)),""),"")</f>
        <v>#REF!</v>
      </c>
    </row>
    <row r="398" spans="1:6" x14ac:dyDescent="0.3">
      <c r="A398" s="11" t="e">
        <f>IF(#REF!&gt;=4,#REF!,"")</f>
        <v>#REF!</v>
      </c>
      <c r="B398" s="8">
        <v>11010304</v>
      </c>
      <c r="C398" s="8" t="s">
        <v>91</v>
      </c>
      <c r="D398" s="12" t="e">
        <f>IF(#REF!&gt;=4,IFERROR(MAX(0,#REF!)/IFERROR(_xlfn.SINGLE(_xlfn.XLOOKUP(B398,MA_ARTICULOS!$A:$A,MA_ARTICULOS!$E:$E,1)),1),0),"")</f>
        <v>#REF!</v>
      </c>
      <c r="E398" s="15" t="s">
        <v>65</v>
      </c>
      <c r="F398" s="22" t="e">
        <f>IF(#REF!&gt;=4,IFERROR(D398*_xlfn.SINGLE(_xlfn.XLOOKUP(B398,MA_ARTICULOS!$A:$A,MA_ARTICULOS!$E:$E,0)),""),"")</f>
        <v>#REF!</v>
      </c>
    </row>
    <row r="399" spans="1:6" x14ac:dyDescent="0.3">
      <c r="A399" s="11" t="e">
        <f>IF(#REF!&gt;=4,#REF!,"")</f>
        <v>#REF!</v>
      </c>
      <c r="B399" s="8">
        <v>11010305</v>
      </c>
      <c r="C399" s="8" t="s">
        <v>92</v>
      </c>
      <c r="D399" s="12" t="e">
        <f>IF(#REF!&gt;=4,IFERROR(MAX(0,#REF!)/IFERROR(_xlfn.SINGLE(_xlfn.XLOOKUP(B399,MA_ARTICULOS!$A:$A,MA_ARTICULOS!$E:$E,1)),1),0),"")</f>
        <v>#REF!</v>
      </c>
      <c r="E399" s="15" t="s">
        <v>65</v>
      </c>
      <c r="F399" s="22" t="e">
        <f>IF(#REF!&gt;=4,IFERROR(D399*_xlfn.SINGLE(_xlfn.XLOOKUP(B399,MA_ARTICULOS!$A:$A,MA_ARTICULOS!$E:$E,0)),""),"")</f>
        <v>#REF!</v>
      </c>
    </row>
    <row r="400" spans="1:6" x14ac:dyDescent="0.3">
      <c r="A400" s="11" t="e">
        <f>IF(#REF!&gt;=4,#REF!,"")</f>
        <v>#REF!</v>
      </c>
      <c r="B400" s="8">
        <v>11010306</v>
      </c>
      <c r="C400" s="8" t="s">
        <v>93</v>
      </c>
      <c r="D400" s="12" t="e">
        <f>IF(#REF!&gt;=4,IFERROR(MAX(0,#REF!)/IFERROR(_xlfn.SINGLE(_xlfn.XLOOKUP(B400,MA_ARTICULOS!$A:$A,MA_ARTICULOS!$E:$E,1)),1),0),"")</f>
        <v>#REF!</v>
      </c>
      <c r="E400" s="15" t="s">
        <v>65</v>
      </c>
      <c r="F400" s="22" t="e">
        <f>IF(#REF!&gt;=4,IFERROR(D400*_xlfn.SINGLE(_xlfn.XLOOKUP(B400,MA_ARTICULOS!$A:$A,MA_ARTICULOS!$E:$E,0)),""),"")</f>
        <v>#REF!</v>
      </c>
    </row>
    <row r="401" spans="1:6" x14ac:dyDescent="0.3">
      <c r="A401" s="11" t="e">
        <f>IF(#REF!&gt;=4,#REF!,"")</f>
        <v>#REF!</v>
      </c>
      <c r="B401" s="8">
        <v>11010307</v>
      </c>
      <c r="C401" s="8" t="s">
        <v>94</v>
      </c>
      <c r="D401" s="12" t="e">
        <f>IF(#REF!&gt;=4,IFERROR(MAX(0,#REF!)/IFERROR(_xlfn.SINGLE(_xlfn.XLOOKUP(B401,MA_ARTICULOS!$A:$A,MA_ARTICULOS!$E:$E,1)),1),0),"")</f>
        <v>#REF!</v>
      </c>
      <c r="E401" s="15" t="s">
        <v>65</v>
      </c>
      <c r="F401" s="22" t="e">
        <f>IF(#REF!&gt;=4,IFERROR(D401*_xlfn.SINGLE(_xlfn.XLOOKUP(B401,MA_ARTICULOS!$A:$A,MA_ARTICULOS!$E:$E,0)),""),"")</f>
        <v>#REF!</v>
      </c>
    </row>
    <row r="402" spans="1:6" x14ac:dyDescent="0.3">
      <c r="A402" s="11" t="e">
        <f>IF(#REF!&gt;=4,#REF!,"")</f>
        <v>#REF!</v>
      </c>
      <c r="B402" s="8">
        <v>11010308</v>
      </c>
      <c r="C402" s="8" t="s">
        <v>95</v>
      </c>
      <c r="D402" s="12" t="e">
        <f>IF(#REF!&gt;=4,IFERROR(MAX(0,#REF!)/IFERROR(_xlfn.SINGLE(_xlfn.XLOOKUP(B402,MA_ARTICULOS!$A:$A,MA_ARTICULOS!$E:$E,1)),1),0),"")</f>
        <v>#REF!</v>
      </c>
      <c r="E402" s="15" t="s">
        <v>65</v>
      </c>
      <c r="F402" s="22" t="e">
        <f>IF(#REF!&gt;=4,IFERROR(D402*_xlfn.SINGLE(_xlfn.XLOOKUP(B402,MA_ARTICULOS!$A:$A,MA_ARTICULOS!$E:$E,0)),""),"")</f>
        <v>#REF!</v>
      </c>
    </row>
    <row r="403" spans="1:6" x14ac:dyDescent="0.3">
      <c r="A403" s="11" t="e">
        <f>IF(#REF!&gt;=4,#REF!,"")</f>
        <v>#REF!</v>
      </c>
      <c r="B403" s="8">
        <v>11010309</v>
      </c>
      <c r="C403" s="8" t="s">
        <v>96</v>
      </c>
      <c r="D403" s="12" t="e">
        <f>IF(#REF!&gt;=4,IFERROR(MAX(0,#REF!)/IFERROR(_xlfn.SINGLE(_xlfn.XLOOKUP(B403,MA_ARTICULOS!$A:$A,MA_ARTICULOS!$E:$E,1)),1),0),"")</f>
        <v>#REF!</v>
      </c>
      <c r="E403" s="15" t="s">
        <v>65</v>
      </c>
      <c r="F403" s="22" t="e">
        <f>IF(#REF!&gt;=4,IFERROR(D403*_xlfn.SINGLE(_xlfn.XLOOKUP(B403,MA_ARTICULOS!$A:$A,MA_ARTICULOS!$E:$E,0)),""),"")</f>
        <v>#REF!</v>
      </c>
    </row>
    <row r="404" spans="1:6" x14ac:dyDescent="0.3">
      <c r="A404" s="11" t="e">
        <f>IF(#REF!&gt;=4,#REF!,"")</f>
        <v>#REF!</v>
      </c>
      <c r="B404" s="8">
        <v>11020001</v>
      </c>
      <c r="C404" s="8" t="s">
        <v>97</v>
      </c>
      <c r="D404" s="12" t="e">
        <f>IF(#REF!&gt;=4,IFERROR(MAX(0,#REF!)/IFERROR(_xlfn.SINGLE(_xlfn.XLOOKUP(B404,MA_ARTICULOS!$A:$A,MA_ARTICULOS!$E:$E,1)),1),0),"")</f>
        <v>#REF!</v>
      </c>
      <c r="E404" s="15" t="s">
        <v>65</v>
      </c>
      <c r="F404" s="22" t="e">
        <f>IF(#REF!&gt;=4,IFERROR(D404*_xlfn.SINGLE(_xlfn.XLOOKUP(B404,MA_ARTICULOS!$A:$A,MA_ARTICULOS!$E:$E,0)),""),"")</f>
        <v>#REF!</v>
      </c>
    </row>
    <row r="405" spans="1:6" x14ac:dyDescent="0.3">
      <c r="A405" s="11" t="e">
        <f>IF(#REF!&gt;=4,#REF!,"")</f>
        <v>#REF!</v>
      </c>
      <c r="B405" s="8">
        <v>11020002</v>
      </c>
      <c r="C405" s="8" t="s">
        <v>98</v>
      </c>
      <c r="D405" s="12" t="e">
        <f>IF(#REF!&gt;=4,IFERROR(MAX(0,#REF!)/IFERROR(_xlfn.SINGLE(_xlfn.XLOOKUP(B405,MA_ARTICULOS!$A:$A,MA_ARTICULOS!$E:$E,1)),1),0),"")</f>
        <v>#REF!</v>
      </c>
      <c r="E405" s="15" t="s">
        <v>65</v>
      </c>
      <c r="F405" s="22" t="e">
        <f>IF(#REF!&gt;=4,IFERROR(D405*_xlfn.SINGLE(_xlfn.XLOOKUP(B405,MA_ARTICULOS!$A:$A,MA_ARTICULOS!$E:$E,0)),""),"")</f>
        <v>#REF!</v>
      </c>
    </row>
    <row r="406" spans="1:6" x14ac:dyDescent="0.3">
      <c r="A406" s="11" t="e">
        <f>IF(#REF!&gt;=4,#REF!,"")</f>
        <v>#REF!</v>
      </c>
      <c r="B406" s="8">
        <v>11020003</v>
      </c>
      <c r="C406" s="8" t="s">
        <v>99</v>
      </c>
      <c r="D406" s="12" t="e">
        <f>IF(#REF!&gt;=4,IFERROR(MAX(0,#REF!)/IFERROR(_xlfn.SINGLE(_xlfn.XLOOKUP(B406,MA_ARTICULOS!$A:$A,MA_ARTICULOS!$E:$E,1)),1),0),"")</f>
        <v>#REF!</v>
      </c>
      <c r="E406" s="15" t="s">
        <v>65</v>
      </c>
      <c r="F406" s="22" t="e">
        <f>IF(#REF!&gt;=4,IFERROR(D406*_xlfn.SINGLE(_xlfn.XLOOKUP(B406,MA_ARTICULOS!$A:$A,MA_ARTICULOS!$E:$E,0)),""),"")</f>
        <v>#REF!</v>
      </c>
    </row>
    <row r="407" spans="1:6" x14ac:dyDescent="0.3">
      <c r="A407" s="11" t="e">
        <f>IF(#REF!&gt;=4,#REF!,"")</f>
        <v>#REF!</v>
      </c>
      <c r="B407" s="8">
        <v>11020004</v>
      </c>
      <c r="C407" s="8" t="s">
        <v>100</v>
      </c>
      <c r="D407" s="12" t="e">
        <f>IF(#REF!&gt;=4,IFERROR(MAX(0,#REF!)/IFERROR(_xlfn.SINGLE(_xlfn.XLOOKUP(B407,MA_ARTICULOS!$A:$A,MA_ARTICULOS!$E:$E,1)),1),0),"")</f>
        <v>#REF!</v>
      </c>
      <c r="E407" s="15" t="s">
        <v>65</v>
      </c>
      <c r="F407" s="22" t="e">
        <f>IF(#REF!&gt;=4,IFERROR(D407*_xlfn.SINGLE(_xlfn.XLOOKUP(B407,MA_ARTICULOS!$A:$A,MA_ARTICULOS!$E:$E,0)),""),"")</f>
        <v>#REF!</v>
      </c>
    </row>
    <row r="408" spans="1:6" x14ac:dyDescent="0.3">
      <c r="A408" s="11" t="e">
        <f>IF(#REF!&gt;=4,#REF!,"")</f>
        <v>#REF!</v>
      </c>
      <c r="B408" s="8">
        <v>11020005</v>
      </c>
      <c r="C408" s="8" t="s">
        <v>101</v>
      </c>
      <c r="D408" s="12" t="e">
        <f>IF(#REF!&gt;=4,IFERROR(MAX(0,#REF!)/IFERROR(_xlfn.SINGLE(_xlfn.XLOOKUP(B408,MA_ARTICULOS!$A:$A,MA_ARTICULOS!$E:$E,1)),1),0),"")</f>
        <v>#REF!</v>
      </c>
      <c r="E408" s="15" t="s">
        <v>65</v>
      </c>
      <c r="F408" s="22" t="e">
        <f>IF(#REF!&gt;=4,IFERROR(D408*_xlfn.SINGLE(_xlfn.XLOOKUP(B408,MA_ARTICULOS!$A:$A,MA_ARTICULOS!$E:$E,0)),""),"")</f>
        <v>#REF!</v>
      </c>
    </row>
    <row r="409" spans="1:6" x14ac:dyDescent="0.3">
      <c r="A409" s="11" t="e">
        <f>IF(#REF!&gt;=4,#REF!,"")</f>
        <v>#REF!</v>
      </c>
      <c r="B409" s="8">
        <v>11020006</v>
      </c>
      <c r="C409" s="8" t="s">
        <v>102</v>
      </c>
      <c r="D409" s="12" t="e">
        <f>IF(#REF!&gt;=4,IFERROR(MAX(0,#REF!)/IFERROR(_xlfn.SINGLE(_xlfn.XLOOKUP(B409,MA_ARTICULOS!$A:$A,MA_ARTICULOS!$E:$E,1)),1),0),"")</f>
        <v>#REF!</v>
      </c>
      <c r="E409" s="15" t="s">
        <v>65</v>
      </c>
      <c r="F409" s="22" t="e">
        <f>IF(#REF!&gt;=4,IFERROR(D409*_xlfn.SINGLE(_xlfn.XLOOKUP(B409,MA_ARTICULOS!$A:$A,MA_ARTICULOS!$E:$E,0)),""),"")</f>
        <v>#REF!</v>
      </c>
    </row>
    <row r="410" spans="1:6" x14ac:dyDescent="0.3">
      <c r="A410" s="11" t="e">
        <f>IF(#REF!&gt;=4,#REF!,"")</f>
        <v>#REF!</v>
      </c>
      <c r="B410" s="8">
        <v>11020007</v>
      </c>
      <c r="C410" s="8" t="s">
        <v>103</v>
      </c>
      <c r="D410" s="12" t="e">
        <f>IF(#REF!&gt;=4,IFERROR(MAX(0,#REF!)/IFERROR(_xlfn.SINGLE(_xlfn.XLOOKUP(B410,MA_ARTICULOS!$A:$A,MA_ARTICULOS!$E:$E,1)),1),0),"")</f>
        <v>#REF!</v>
      </c>
      <c r="E410" s="15" t="s">
        <v>65</v>
      </c>
      <c r="F410" s="22" t="e">
        <f>IF(#REF!&gt;=4,IFERROR(D410*_xlfn.SINGLE(_xlfn.XLOOKUP(B410,MA_ARTICULOS!$A:$A,MA_ARTICULOS!$E:$E,0)),""),"")</f>
        <v>#REF!</v>
      </c>
    </row>
    <row r="411" spans="1:6" x14ac:dyDescent="0.3">
      <c r="A411" s="11" t="e">
        <f>IF(#REF!&gt;=4,#REF!,"")</f>
        <v>#REF!</v>
      </c>
      <c r="B411" s="8">
        <v>11020008</v>
      </c>
      <c r="C411" s="8" t="s">
        <v>104</v>
      </c>
      <c r="D411" s="12" t="e">
        <f>IF(#REF!&gt;=4,IFERROR(MAX(0,#REF!)/IFERROR(_xlfn.SINGLE(_xlfn.XLOOKUP(B411,MA_ARTICULOS!$A:$A,MA_ARTICULOS!$E:$E,1)),1),0),"")</f>
        <v>#REF!</v>
      </c>
      <c r="E411" s="15" t="s">
        <v>65</v>
      </c>
      <c r="F411" s="22" t="e">
        <f>IF(#REF!&gt;=4,IFERROR(D411*_xlfn.SINGLE(_xlfn.XLOOKUP(B411,MA_ARTICULOS!$A:$A,MA_ARTICULOS!$E:$E,0)),""),"")</f>
        <v>#REF!</v>
      </c>
    </row>
    <row r="412" spans="1:6" x14ac:dyDescent="0.3">
      <c r="A412" s="11" t="e">
        <f>IF(#REF!&gt;=4,#REF!,"")</f>
        <v>#REF!</v>
      </c>
      <c r="B412" s="8">
        <v>11020009</v>
      </c>
      <c r="C412" s="8" t="s">
        <v>105</v>
      </c>
      <c r="D412" s="12" t="e">
        <f>IF(#REF!&gt;=4,IFERROR(MAX(0,#REF!)/IFERROR(_xlfn.SINGLE(_xlfn.XLOOKUP(B412,MA_ARTICULOS!$A:$A,MA_ARTICULOS!$E:$E,1)),1),0),"")</f>
        <v>#REF!</v>
      </c>
      <c r="E412" s="15" t="s">
        <v>65</v>
      </c>
      <c r="F412" s="22" t="e">
        <f>IF(#REF!&gt;=4,IFERROR(D412*_xlfn.SINGLE(_xlfn.XLOOKUP(B412,MA_ARTICULOS!$A:$A,MA_ARTICULOS!$E:$E,0)),""),"")</f>
        <v>#REF!</v>
      </c>
    </row>
    <row r="413" spans="1:6" x14ac:dyDescent="0.3">
      <c r="A413" s="11" t="e">
        <f>IF(#REF!&gt;=4,#REF!,"")</f>
        <v>#REF!</v>
      </c>
      <c r="B413" s="8">
        <v>11020010</v>
      </c>
      <c r="C413" s="8" t="s">
        <v>106</v>
      </c>
      <c r="D413" s="12" t="e">
        <f>IF(#REF!&gt;=4,IFERROR(MAX(0,#REF!)/IFERROR(_xlfn.SINGLE(_xlfn.XLOOKUP(B413,MA_ARTICULOS!$A:$A,MA_ARTICULOS!$E:$E,1)),1),0),"")</f>
        <v>#REF!</v>
      </c>
      <c r="E413" s="15" t="s">
        <v>65</v>
      </c>
      <c r="F413" s="22" t="e">
        <f>IF(#REF!&gt;=4,IFERROR(D413*_xlfn.SINGLE(_xlfn.XLOOKUP(B413,MA_ARTICULOS!$A:$A,MA_ARTICULOS!$E:$E,0)),""),"")</f>
        <v>#REF!</v>
      </c>
    </row>
    <row r="414" spans="1:6" x14ac:dyDescent="0.3">
      <c r="A414" s="11" t="e">
        <f>IF(#REF!&gt;=4,#REF!,"")</f>
        <v>#REF!</v>
      </c>
      <c r="B414" s="8">
        <v>11020014</v>
      </c>
      <c r="C414" s="8" t="s">
        <v>107</v>
      </c>
      <c r="D414" s="12" t="e">
        <f>IF(#REF!&gt;=4,IFERROR(MAX(0,#REF!)/IFERROR(_xlfn.SINGLE(_xlfn.XLOOKUP(B414,MA_ARTICULOS!$A:$A,MA_ARTICULOS!$E:$E,1)),1),0),"")</f>
        <v>#REF!</v>
      </c>
      <c r="E414" s="15" t="s">
        <v>65</v>
      </c>
      <c r="F414" s="22" t="e">
        <f>IF(#REF!&gt;=4,IFERROR(D414*_xlfn.SINGLE(_xlfn.XLOOKUP(B414,MA_ARTICULOS!$A:$A,MA_ARTICULOS!$E:$E,0)),""),"")</f>
        <v>#REF!</v>
      </c>
    </row>
    <row r="415" spans="1:6" x14ac:dyDescent="0.3">
      <c r="A415" s="11" t="e">
        <f>IF(#REF!&gt;=4,#REF!,"")</f>
        <v>#REF!</v>
      </c>
      <c r="B415" s="8">
        <v>11020015</v>
      </c>
      <c r="C415" s="8" t="s">
        <v>108</v>
      </c>
      <c r="D415" s="12" t="e">
        <f>IF(#REF!&gt;=4,IFERROR(MAX(0,#REF!)/IFERROR(_xlfn.SINGLE(_xlfn.XLOOKUP(B415,MA_ARTICULOS!$A:$A,MA_ARTICULOS!$E:$E,1)),1),0),"")</f>
        <v>#REF!</v>
      </c>
      <c r="E415" s="15" t="s">
        <v>65</v>
      </c>
      <c r="F415" s="22" t="e">
        <f>IF(#REF!&gt;=4,IFERROR(D415*_xlfn.SINGLE(_xlfn.XLOOKUP(B415,MA_ARTICULOS!$A:$A,MA_ARTICULOS!$E:$E,0)),""),"")</f>
        <v>#REF!</v>
      </c>
    </row>
    <row r="416" spans="1:6" x14ac:dyDescent="0.3">
      <c r="A416" s="11" t="e">
        <f>IF(#REF!&gt;=4,#REF!,"")</f>
        <v>#REF!</v>
      </c>
      <c r="B416" s="8">
        <v>11020016</v>
      </c>
      <c r="C416" s="8" t="s">
        <v>109</v>
      </c>
      <c r="D416" s="12" t="e">
        <f>IF(#REF!&gt;=4,IFERROR(MAX(0,#REF!)/IFERROR(_xlfn.SINGLE(_xlfn.XLOOKUP(B416,MA_ARTICULOS!$A:$A,MA_ARTICULOS!$E:$E,1)),1),0),"")</f>
        <v>#REF!</v>
      </c>
      <c r="E416" s="15" t="s">
        <v>65</v>
      </c>
      <c r="F416" s="22" t="e">
        <f>IF(#REF!&gt;=4,IFERROR(D416*_xlfn.SINGLE(_xlfn.XLOOKUP(B416,MA_ARTICULOS!$A:$A,MA_ARTICULOS!$E:$E,0)),""),"")</f>
        <v>#REF!</v>
      </c>
    </row>
    <row r="417" spans="1:6" x14ac:dyDescent="0.3">
      <c r="A417" s="11" t="e">
        <f>IF(#REF!&gt;=4,#REF!,"")</f>
        <v>#REF!</v>
      </c>
      <c r="B417" s="8">
        <v>12040001</v>
      </c>
      <c r="C417" s="8" t="s">
        <v>110</v>
      </c>
      <c r="D417" s="12" t="e">
        <f>IF(#REF!&gt;=4,IFERROR(MAX(0,#REF!)/IFERROR(_xlfn.SINGLE(_xlfn.XLOOKUP(B417,MA_ARTICULOS!$A:$A,MA_ARTICULOS!$E:$E,1)),1),0),"")</f>
        <v>#REF!</v>
      </c>
      <c r="E417" s="15" t="s">
        <v>65</v>
      </c>
      <c r="F417" s="22" t="e">
        <f>IF(#REF!&gt;=4,IFERROR(D417*_xlfn.SINGLE(_xlfn.XLOOKUP(B417,MA_ARTICULOS!$A:$A,MA_ARTICULOS!$E:$E,0)),""),"")</f>
        <v>#REF!</v>
      </c>
    </row>
    <row r="418" spans="1:6" x14ac:dyDescent="0.3">
      <c r="A418" s="11" t="e">
        <f>IF(#REF!&gt;=4,#REF!,"")</f>
        <v>#REF!</v>
      </c>
      <c r="B418" s="8">
        <v>12040002</v>
      </c>
      <c r="C418" s="8" t="s">
        <v>111</v>
      </c>
      <c r="D418" s="12" t="e">
        <f>IF(#REF!&gt;=4,IFERROR(MAX(0,#REF!)/IFERROR(_xlfn.SINGLE(_xlfn.XLOOKUP(B418,MA_ARTICULOS!$A:$A,MA_ARTICULOS!$E:$E,1)),1),0),"")</f>
        <v>#REF!</v>
      </c>
      <c r="E418" s="15" t="s">
        <v>65</v>
      </c>
      <c r="F418" s="22" t="e">
        <f>IF(#REF!&gt;=4,IFERROR(D418*_xlfn.SINGLE(_xlfn.XLOOKUP(B418,MA_ARTICULOS!$A:$A,MA_ARTICULOS!$E:$E,0)),""),"")</f>
        <v>#REF!</v>
      </c>
    </row>
    <row r="419" spans="1:6" x14ac:dyDescent="0.3">
      <c r="A419" s="11" t="e">
        <f>IF(#REF!&gt;=4,#REF!,"")</f>
        <v>#REF!</v>
      </c>
      <c r="B419" s="8">
        <v>12080001</v>
      </c>
      <c r="C419" s="8" t="s">
        <v>112</v>
      </c>
      <c r="D419" s="12" t="e">
        <f>IF(#REF!&gt;=4,IFERROR(MAX(0,#REF!)/IFERROR(_xlfn.SINGLE(_xlfn.XLOOKUP(B419,MA_ARTICULOS!$A:$A,MA_ARTICULOS!$E:$E,1)),1),0),"")</f>
        <v>#REF!</v>
      </c>
      <c r="E419" s="15" t="s">
        <v>65</v>
      </c>
      <c r="F419" s="22" t="e">
        <f>IF(#REF!&gt;=4,IFERROR(D419*_xlfn.SINGLE(_xlfn.XLOOKUP(B419,MA_ARTICULOS!$A:$A,MA_ARTICULOS!$E:$E,0)),""),"")</f>
        <v>#REF!</v>
      </c>
    </row>
    <row r="420" spans="1:6" x14ac:dyDescent="0.3">
      <c r="A420" s="11" t="e">
        <f>IF(#REF!&gt;=4,#REF!,"")</f>
        <v>#REF!</v>
      </c>
      <c r="B420" s="8">
        <v>12080002</v>
      </c>
      <c r="C420" s="8" t="s">
        <v>113</v>
      </c>
      <c r="D420" s="12" t="e">
        <f>IF(#REF!&gt;=4,IFERROR(MAX(0,#REF!)/IFERROR(_xlfn.SINGLE(_xlfn.XLOOKUP(B420,MA_ARTICULOS!$A:$A,MA_ARTICULOS!$E:$E,1)),1),0),"")</f>
        <v>#REF!</v>
      </c>
      <c r="E420" s="15" t="s">
        <v>65</v>
      </c>
      <c r="F420" s="22" t="e">
        <f>IF(#REF!&gt;=4,IFERROR(D420*_xlfn.SINGLE(_xlfn.XLOOKUP(B420,MA_ARTICULOS!$A:$A,MA_ARTICULOS!$E:$E,0)),""),"")</f>
        <v>#REF!</v>
      </c>
    </row>
    <row r="421" spans="1:6" x14ac:dyDescent="0.3">
      <c r="A421" s="11" t="e">
        <f>IF(#REF!&gt;=4,#REF!,"")</f>
        <v>#REF!</v>
      </c>
      <c r="B421" s="8">
        <v>12080003</v>
      </c>
      <c r="C421" s="8" t="s">
        <v>114</v>
      </c>
      <c r="D421" s="12" t="e">
        <f>IF(#REF!&gt;=4,IFERROR(MAX(0,#REF!)/IFERROR(_xlfn.SINGLE(_xlfn.XLOOKUP(B421,MA_ARTICULOS!$A:$A,MA_ARTICULOS!$E:$E,1)),1),0),"")</f>
        <v>#REF!</v>
      </c>
      <c r="E421" s="15" t="s">
        <v>65</v>
      </c>
      <c r="F421" s="22" t="e">
        <f>IF(#REF!&gt;=4,IFERROR(D421*_xlfn.SINGLE(_xlfn.XLOOKUP(B421,MA_ARTICULOS!$A:$A,MA_ARTICULOS!$E:$E,0)),""),"")</f>
        <v>#REF!</v>
      </c>
    </row>
    <row r="422" spans="1:6" x14ac:dyDescent="0.3">
      <c r="A422" s="11" t="e">
        <f>IF(#REF!&gt;=4,#REF!,"")</f>
        <v>#REF!</v>
      </c>
      <c r="B422" s="8">
        <v>13010007</v>
      </c>
      <c r="C422" s="8" t="s">
        <v>115</v>
      </c>
      <c r="D422" s="12" t="e">
        <f>IF(#REF!&gt;=4,IFERROR(MAX(0,#REF!)/IFERROR(_xlfn.SINGLE(_xlfn.XLOOKUP(B422,MA_ARTICULOS!$A:$A,MA_ARTICULOS!$E:$E,1)),1),0),"")</f>
        <v>#REF!</v>
      </c>
      <c r="E422" s="15" t="s">
        <v>65</v>
      </c>
      <c r="F422" s="22" t="e">
        <f>IF(#REF!&gt;=4,IFERROR(D422*_xlfn.SINGLE(_xlfn.XLOOKUP(B422,MA_ARTICULOS!$A:$A,MA_ARTICULOS!$E:$E,0)),""),"")</f>
        <v>#REF!</v>
      </c>
    </row>
    <row r="423" spans="1:6" x14ac:dyDescent="0.3">
      <c r="A423" s="11" t="e">
        <f>IF(#REF!&gt;=4,#REF!,"")</f>
        <v>#REF!</v>
      </c>
      <c r="B423" s="8">
        <v>13010008</v>
      </c>
      <c r="C423" s="8" t="s">
        <v>116</v>
      </c>
      <c r="D423" s="12" t="e">
        <f>IF(#REF!&gt;=4,IFERROR(MAX(0,#REF!)/IFERROR(_xlfn.SINGLE(_xlfn.XLOOKUP(B423,MA_ARTICULOS!$A:$A,MA_ARTICULOS!$E:$E,1)),1),0),"")</f>
        <v>#REF!</v>
      </c>
      <c r="E423" s="15" t="s">
        <v>65</v>
      </c>
      <c r="F423" s="22" t="e">
        <f>IF(#REF!&gt;=4,IFERROR(D423*_xlfn.SINGLE(_xlfn.XLOOKUP(B423,MA_ARTICULOS!$A:$A,MA_ARTICULOS!$E:$E,0)),""),"")</f>
        <v>#REF!</v>
      </c>
    </row>
    <row r="424" spans="1:6" x14ac:dyDescent="0.3">
      <c r="A424" s="11" t="e">
        <f>IF(#REF!&gt;=4,#REF!,"")</f>
        <v>#REF!</v>
      </c>
      <c r="B424" s="8">
        <v>13019001</v>
      </c>
      <c r="C424" s="8" t="s">
        <v>117</v>
      </c>
      <c r="D424" s="12" t="e">
        <f>IF(#REF!&gt;=4,IFERROR(MAX(0,#REF!)/IFERROR(_xlfn.SINGLE(_xlfn.XLOOKUP(B424,MA_ARTICULOS!$A:$A,MA_ARTICULOS!$E:$E,1)),1),0),"")</f>
        <v>#REF!</v>
      </c>
      <c r="E424" s="15" t="s">
        <v>65</v>
      </c>
      <c r="F424" s="22" t="e">
        <f>IF(#REF!&gt;=4,IFERROR(D424*_xlfn.SINGLE(_xlfn.XLOOKUP(B424,MA_ARTICULOS!$A:$A,MA_ARTICULOS!$E:$E,0)),""),"")</f>
        <v>#REF!</v>
      </c>
    </row>
    <row r="425" spans="1:6" x14ac:dyDescent="0.3">
      <c r="A425" s="11" t="e">
        <f>IF(#REF!&gt;=4,#REF!,"")</f>
        <v>#REF!</v>
      </c>
      <c r="B425" s="8">
        <v>13019002</v>
      </c>
      <c r="C425" s="8" t="s">
        <v>118</v>
      </c>
      <c r="D425" s="12" t="e">
        <f>IF(#REF!&gt;=4,IFERROR(MAX(0,#REF!)/IFERROR(_xlfn.SINGLE(_xlfn.XLOOKUP(B425,MA_ARTICULOS!$A:$A,MA_ARTICULOS!$E:$E,1)),1),0),"")</f>
        <v>#REF!</v>
      </c>
      <c r="E425" s="15" t="s">
        <v>65</v>
      </c>
      <c r="F425" s="22" t="e">
        <f>IF(#REF!&gt;=4,IFERROR(D425*_xlfn.SINGLE(_xlfn.XLOOKUP(B425,MA_ARTICULOS!$A:$A,MA_ARTICULOS!$E:$E,0)),""),"")</f>
        <v>#REF!</v>
      </c>
    </row>
    <row r="426" spans="1:6" x14ac:dyDescent="0.3">
      <c r="A426" s="11" t="e">
        <f>IF(#REF!&gt;=4,#REF!,"")</f>
        <v>#REF!</v>
      </c>
      <c r="B426" s="8">
        <v>13019003</v>
      </c>
      <c r="C426" s="8" t="s">
        <v>119</v>
      </c>
      <c r="D426" s="12" t="e">
        <f>IF(#REF!&gt;=4,IFERROR(MAX(0,#REF!)/IFERROR(_xlfn.SINGLE(_xlfn.XLOOKUP(B426,MA_ARTICULOS!$A:$A,MA_ARTICULOS!$E:$E,1)),1),0),"")</f>
        <v>#REF!</v>
      </c>
      <c r="E426" s="15" t="s">
        <v>65</v>
      </c>
      <c r="F426" s="22" t="e">
        <f>IF(#REF!&gt;=4,IFERROR(D426*_xlfn.SINGLE(_xlfn.XLOOKUP(B426,MA_ARTICULOS!$A:$A,MA_ARTICULOS!$E:$E,0)),""),"")</f>
        <v>#REF!</v>
      </c>
    </row>
    <row r="427" spans="1:6" x14ac:dyDescent="0.3">
      <c r="A427" s="11" t="e">
        <f>IF(#REF!&gt;=4,#REF!,"")</f>
        <v>#REF!</v>
      </c>
      <c r="B427" s="8">
        <v>13019004</v>
      </c>
      <c r="C427" s="8" t="s">
        <v>120</v>
      </c>
      <c r="D427" s="12" t="e">
        <f>IF(#REF!&gt;=4,IFERROR(MAX(0,#REF!)/IFERROR(_xlfn.SINGLE(_xlfn.XLOOKUP(B427,MA_ARTICULOS!$A:$A,MA_ARTICULOS!$E:$E,1)),1),0),"")</f>
        <v>#REF!</v>
      </c>
      <c r="E427" s="15" t="s">
        <v>65</v>
      </c>
      <c r="F427" s="22" t="e">
        <f>IF(#REF!&gt;=4,IFERROR(D427*_xlfn.SINGLE(_xlfn.XLOOKUP(B427,MA_ARTICULOS!$A:$A,MA_ARTICULOS!$E:$E,0)),""),"")</f>
        <v>#REF!</v>
      </c>
    </row>
    <row r="428" spans="1:6" x14ac:dyDescent="0.3">
      <c r="A428" s="11" t="e">
        <f>IF(#REF!&gt;=4,#REF!,"")</f>
        <v>#REF!</v>
      </c>
      <c r="B428" s="8">
        <v>13019005</v>
      </c>
      <c r="C428" s="8" t="s">
        <v>121</v>
      </c>
      <c r="D428" s="12" t="e">
        <f>IF(#REF!&gt;=4,IFERROR(MAX(0,#REF!)/IFERROR(_xlfn.SINGLE(_xlfn.XLOOKUP(B428,MA_ARTICULOS!$A:$A,MA_ARTICULOS!$E:$E,1)),1),0),"")</f>
        <v>#REF!</v>
      </c>
      <c r="E428" s="15" t="s">
        <v>65</v>
      </c>
      <c r="F428" s="22" t="e">
        <f>IF(#REF!&gt;=4,IFERROR(D428*_xlfn.SINGLE(_xlfn.XLOOKUP(B428,MA_ARTICULOS!$A:$A,MA_ARTICULOS!$E:$E,0)),""),"")</f>
        <v>#REF!</v>
      </c>
    </row>
    <row r="429" spans="1:6" x14ac:dyDescent="0.3">
      <c r="A429" s="11" t="e">
        <f>IF(#REF!&gt;=4,#REF!,"")</f>
        <v>#REF!</v>
      </c>
      <c r="B429" s="8">
        <v>13019007</v>
      </c>
      <c r="C429" s="8" t="s">
        <v>122</v>
      </c>
      <c r="D429" s="12" t="e">
        <f>IF(#REF!&gt;=4,IFERROR(MAX(0,#REF!)/IFERROR(_xlfn.SINGLE(_xlfn.XLOOKUP(B429,MA_ARTICULOS!$A:$A,MA_ARTICULOS!$E:$E,1)),1),0),"")</f>
        <v>#REF!</v>
      </c>
      <c r="E429" s="15" t="s">
        <v>65</v>
      </c>
      <c r="F429" s="22" t="e">
        <f>IF(#REF!&gt;=4,IFERROR(D429*_xlfn.SINGLE(_xlfn.XLOOKUP(B429,MA_ARTICULOS!$A:$A,MA_ARTICULOS!$E:$E,0)),""),"")</f>
        <v>#REF!</v>
      </c>
    </row>
    <row r="430" spans="1:6" x14ac:dyDescent="0.3">
      <c r="A430" s="11" t="e">
        <f>IF(#REF!&gt;=4,#REF!,"")</f>
        <v>#REF!</v>
      </c>
      <c r="B430" s="8">
        <v>13019008</v>
      </c>
      <c r="C430" s="8" t="s">
        <v>123</v>
      </c>
      <c r="D430" s="12" t="e">
        <f>IF(#REF!&gt;=4,IFERROR(MAX(0,#REF!)/IFERROR(_xlfn.SINGLE(_xlfn.XLOOKUP(B430,MA_ARTICULOS!$A:$A,MA_ARTICULOS!$E:$E,1)),1),0),"")</f>
        <v>#REF!</v>
      </c>
      <c r="E430" s="15" t="s">
        <v>65</v>
      </c>
      <c r="F430" s="22" t="e">
        <f>IF(#REF!&gt;=4,IFERROR(D430*_xlfn.SINGLE(_xlfn.XLOOKUP(B430,MA_ARTICULOS!$A:$A,MA_ARTICULOS!$E:$E,0)),""),"")</f>
        <v>#REF!</v>
      </c>
    </row>
    <row r="431" spans="1:6" x14ac:dyDescent="0.3">
      <c r="A431" s="11" t="e">
        <f>IF(#REF!&gt;=4,#REF!,"")</f>
        <v>#REF!</v>
      </c>
      <c r="B431" s="8">
        <v>13020004</v>
      </c>
      <c r="C431" s="8" t="s">
        <v>124</v>
      </c>
      <c r="D431" s="12" t="e">
        <f>IF(#REF!&gt;=4,IFERROR(MAX(0,#REF!)/IFERROR(_xlfn.SINGLE(_xlfn.XLOOKUP(B431,MA_ARTICULOS!$A:$A,MA_ARTICULOS!$E:$E,1)),1),0),"")</f>
        <v>#REF!</v>
      </c>
      <c r="E431" s="15" t="s">
        <v>65</v>
      </c>
      <c r="F431" s="22" t="e">
        <f>IF(#REF!&gt;=4,IFERROR(D431*_xlfn.SINGLE(_xlfn.XLOOKUP(B431,MA_ARTICULOS!$A:$A,MA_ARTICULOS!$E:$E,0)),""),"")</f>
        <v>#REF!</v>
      </c>
    </row>
    <row r="432" spans="1:6" x14ac:dyDescent="0.3">
      <c r="A432" s="11" t="e">
        <f>IF(#REF!&gt;=4,#REF!,"")</f>
        <v>#REF!</v>
      </c>
      <c r="B432" s="8">
        <v>13020005</v>
      </c>
      <c r="C432" s="8" t="s">
        <v>125</v>
      </c>
      <c r="D432" s="12" t="e">
        <f>IF(#REF!&gt;=4,IFERROR(MAX(0,#REF!)/IFERROR(_xlfn.SINGLE(_xlfn.XLOOKUP(B432,MA_ARTICULOS!$A:$A,MA_ARTICULOS!$E:$E,1)),1),0),"")</f>
        <v>#REF!</v>
      </c>
      <c r="E432" s="15" t="s">
        <v>65</v>
      </c>
      <c r="F432" s="22" t="e">
        <f>IF(#REF!&gt;=4,IFERROR(D432*_xlfn.SINGLE(_xlfn.XLOOKUP(B432,MA_ARTICULOS!$A:$A,MA_ARTICULOS!$E:$E,0)),""),"")</f>
        <v>#REF!</v>
      </c>
    </row>
    <row r="433" spans="1:6" x14ac:dyDescent="0.3">
      <c r="A433" s="11" t="e">
        <f>IF(#REF!&gt;=4,#REF!,"")</f>
        <v>#REF!</v>
      </c>
      <c r="B433" s="8">
        <v>13040001</v>
      </c>
      <c r="C433" s="8" t="s">
        <v>126</v>
      </c>
      <c r="D433" s="12" t="e">
        <f>IF(#REF!&gt;=4,IFERROR(MAX(0,#REF!)/IFERROR(_xlfn.SINGLE(_xlfn.XLOOKUP(B433,MA_ARTICULOS!$A:$A,MA_ARTICULOS!$E:$E,1)),1),0),"")</f>
        <v>#REF!</v>
      </c>
      <c r="E433" s="15" t="s">
        <v>65</v>
      </c>
      <c r="F433" s="22" t="e">
        <f>IF(#REF!&gt;=4,IFERROR(D433*_xlfn.SINGLE(_xlfn.XLOOKUP(B433,MA_ARTICULOS!$A:$A,MA_ARTICULOS!$E:$E,0)),""),"")</f>
        <v>#REF!</v>
      </c>
    </row>
    <row r="434" spans="1:6" x14ac:dyDescent="0.3">
      <c r="A434" s="11" t="e">
        <f>IF(#REF!&gt;=4,#REF!,"")</f>
        <v>#REF!</v>
      </c>
      <c r="B434" s="8">
        <v>13040002</v>
      </c>
      <c r="C434" s="8" t="s">
        <v>127</v>
      </c>
      <c r="D434" s="12" t="e">
        <f>IF(#REF!&gt;=4,IFERROR(MAX(0,#REF!)/IFERROR(_xlfn.SINGLE(_xlfn.XLOOKUP(B434,MA_ARTICULOS!$A:$A,MA_ARTICULOS!$E:$E,1)),1),0),"")</f>
        <v>#REF!</v>
      </c>
      <c r="E434" s="15" t="s">
        <v>65</v>
      </c>
      <c r="F434" s="22" t="e">
        <f>IF(#REF!&gt;=4,IFERROR(D434*_xlfn.SINGLE(_xlfn.XLOOKUP(B434,MA_ARTICULOS!$A:$A,MA_ARTICULOS!$E:$E,0)),""),"")</f>
        <v>#REF!</v>
      </c>
    </row>
    <row r="435" spans="1:6" x14ac:dyDescent="0.3">
      <c r="A435" s="11" t="e">
        <f>IF(#REF!&gt;=4,#REF!,"")</f>
        <v>#REF!</v>
      </c>
      <c r="B435" s="8">
        <v>13040003</v>
      </c>
      <c r="C435" s="8" t="s">
        <v>128</v>
      </c>
      <c r="D435" s="12" t="e">
        <f>IF(#REF!&gt;=4,IFERROR(MAX(0,#REF!)/IFERROR(_xlfn.SINGLE(_xlfn.XLOOKUP(B435,MA_ARTICULOS!$A:$A,MA_ARTICULOS!$E:$E,1)),1),0),"")</f>
        <v>#REF!</v>
      </c>
      <c r="E435" s="15" t="s">
        <v>65</v>
      </c>
      <c r="F435" s="22" t="e">
        <f>IF(#REF!&gt;=4,IFERROR(D435*_xlfn.SINGLE(_xlfn.XLOOKUP(B435,MA_ARTICULOS!$A:$A,MA_ARTICULOS!$E:$E,0)),""),"")</f>
        <v>#REF!</v>
      </c>
    </row>
    <row r="436" spans="1:6" x14ac:dyDescent="0.3">
      <c r="A436" s="11" t="e">
        <f>IF(#REF!&gt;=4,#REF!,"")</f>
        <v>#REF!</v>
      </c>
      <c r="B436" s="8">
        <v>13040004</v>
      </c>
      <c r="C436" s="8" t="s">
        <v>129</v>
      </c>
      <c r="D436" s="12" t="e">
        <f>IF(#REF!&gt;=4,IFERROR(MAX(0,#REF!)/IFERROR(_xlfn.SINGLE(_xlfn.XLOOKUP(B436,MA_ARTICULOS!$A:$A,MA_ARTICULOS!$E:$E,1)),1),0),"")</f>
        <v>#REF!</v>
      </c>
      <c r="E436" s="15" t="s">
        <v>65</v>
      </c>
      <c r="F436" s="22" t="e">
        <f>IF(#REF!&gt;=4,IFERROR(D436*_xlfn.SINGLE(_xlfn.XLOOKUP(B436,MA_ARTICULOS!$A:$A,MA_ARTICULOS!$E:$E,0)),""),"")</f>
        <v>#REF!</v>
      </c>
    </row>
    <row r="437" spans="1:6" x14ac:dyDescent="0.3">
      <c r="A437" s="11" t="e">
        <f>IF(#REF!&gt;=4,#REF!,"")</f>
        <v>#REF!</v>
      </c>
      <c r="B437" s="8">
        <v>13040005</v>
      </c>
      <c r="C437" s="8" t="s">
        <v>130</v>
      </c>
      <c r="D437" s="12" t="e">
        <f>IF(#REF!&gt;=4,IFERROR(MAX(0,#REF!)/IFERROR(_xlfn.SINGLE(_xlfn.XLOOKUP(B437,MA_ARTICULOS!$A:$A,MA_ARTICULOS!$E:$E,1)),1),0),"")</f>
        <v>#REF!</v>
      </c>
      <c r="E437" s="15" t="s">
        <v>65</v>
      </c>
      <c r="F437" s="22" t="e">
        <f>IF(#REF!&gt;=4,IFERROR(D437*_xlfn.SINGLE(_xlfn.XLOOKUP(B437,MA_ARTICULOS!$A:$A,MA_ARTICULOS!$E:$E,0)),""),"")</f>
        <v>#REF!</v>
      </c>
    </row>
    <row r="438" spans="1:6" x14ac:dyDescent="0.3">
      <c r="A438" s="11" t="e">
        <f>IF(#REF!&gt;=4,#REF!,"")</f>
        <v>#REF!</v>
      </c>
      <c r="B438" s="8">
        <v>13040006</v>
      </c>
      <c r="C438" s="8" t="s">
        <v>131</v>
      </c>
      <c r="D438" s="12" t="e">
        <f>IF(#REF!&gt;=4,IFERROR(MAX(0,#REF!)/IFERROR(_xlfn.SINGLE(_xlfn.XLOOKUP(B438,MA_ARTICULOS!$A:$A,MA_ARTICULOS!$E:$E,1)),1),0),"")</f>
        <v>#REF!</v>
      </c>
      <c r="E438" s="15" t="s">
        <v>65</v>
      </c>
      <c r="F438" s="22" t="e">
        <f>IF(#REF!&gt;=4,IFERROR(D438*_xlfn.SINGLE(_xlfn.XLOOKUP(B438,MA_ARTICULOS!$A:$A,MA_ARTICULOS!$E:$E,0)),""),"")</f>
        <v>#REF!</v>
      </c>
    </row>
    <row r="439" spans="1:6" x14ac:dyDescent="0.3">
      <c r="A439" s="11" t="e">
        <f>IF(#REF!&gt;=4,#REF!,"")</f>
        <v>#REF!</v>
      </c>
      <c r="B439" s="8">
        <v>13040007</v>
      </c>
      <c r="C439" s="8" t="s">
        <v>132</v>
      </c>
      <c r="D439" s="12" t="e">
        <f>IF(#REF!&gt;=4,IFERROR(MAX(0,#REF!)/IFERROR(_xlfn.SINGLE(_xlfn.XLOOKUP(B439,MA_ARTICULOS!$A:$A,MA_ARTICULOS!$E:$E,1)),1),0),"")</f>
        <v>#REF!</v>
      </c>
      <c r="E439" s="15" t="s">
        <v>65</v>
      </c>
      <c r="F439" s="22" t="e">
        <f>IF(#REF!&gt;=4,IFERROR(D439*_xlfn.SINGLE(_xlfn.XLOOKUP(B439,MA_ARTICULOS!$A:$A,MA_ARTICULOS!$E:$E,0)),""),"")</f>
        <v>#REF!</v>
      </c>
    </row>
    <row r="440" spans="1:6" x14ac:dyDescent="0.3">
      <c r="A440" s="11" t="e">
        <f>IF(#REF!&gt;=4,#REF!,"")</f>
        <v>#REF!</v>
      </c>
      <c r="B440" s="8">
        <v>13040008</v>
      </c>
      <c r="C440" s="8" t="s">
        <v>133</v>
      </c>
      <c r="D440" s="12" t="e">
        <f>IF(#REF!&gt;=4,IFERROR(MAX(0,#REF!)/IFERROR(_xlfn.SINGLE(_xlfn.XLOOKUP(B440,MA_ARTICULOS!$A:$A,MA_ARTICULOS!$E:$E,1)),1),0),"")</f>
        <v>#REF!</v>
      </c>
      <c r="E440" s="15" t="s">
        <v>65</v>
      </c>
      <c r="F440" s="22" t="e">
        <f>IF(#REF!&gt;=4,IFERROR(D440*_xlfn.SINGLE(_xlfn.XLOOKUP(B440,MA_ARTICULOS!$A:$A,MA_ARTICULOS!$E:$E,0)),""),"")</f>
        <v>#REF!</v>
      </c>
    </row>
    <row r="441" spans="1:6" x14ac:dyDescent="0.3">
      <c r="A441" s="11" t="e">
        <f>IF(#REF!&gt;=4,#REF!,"")</f>
        <v>#REF!</v>
      </c>
      <c r="B441" s="8">
        <v>13040009</v>
      </c>
      <c r="C441" s="8" t="s">
        <v>134</v>
      </c>
      <c r="D441" s="12" t="e">
        <f>IF(#REF!&gt;=4,IFERROR(MAX(0,#REF!)/IFERROR(_xlfn.SINGLE(_xlfn.XLOOKUP(B441,MA_ARTICULOS!$A:$A,MA_ARTICULOS!$E:$E,1)),1),0),"")</f>
        <v>#REF!</v>
      </c>
      <c r="E441" s="15" t="s">
        <v>65</v>
      </c>
      <c r="F441" s="22" t="e">
        <f>IF(#REF!&gt;=4,IFERROR(D441*_xlfn.SINGLE(_xlfn.XLOOKUP(B441,MA_ARTICULOS!$A:$A,MA_ARTICULOS!$E:$E,0)),""),"")</f>
        <v>#REF!</v>
      </c>
    </row>
    <row r="442" spans="1:6" x14ac:dyDescent="0.3">
      <c r="A442" s="11" t="e">
        <f>IF(#REF!&gt;=4,#REF!,"")</f>
        <v>#REF!</v>
      </c>
      <c r="B442" s="8">
        <v>13040010</v>
      </c>
      <c r="C442" s="8" t="s">
        <v>135</v>
      </c>
      <c r="D442" s="12" t="e">
        <f>IF(#REF!&gt;=4,IFERROR(MAX(0,#REF!)/IFERROR(_xlfn.SINGLE(_xlfn.XLOOKUP(B442,MA_ARTICULOS!$A:$A,MA_ARTICULOS!$E:$E,1)),1),0),"")</f>
        <v>#REF!</v>
      </c>
      <c r="E442" s="15" t="s">
        <v>65</v>
      </c>
      <c r="F442" s="22" t="e">
        <f>IF(#REF!&gt;=4,IFERROR(D442*_xlfn.SINGLE(_xlfn.XLOOKUP(B442,MA_ARTICULOS!$A:$A,MA_ARTICULOS!$E:$E,0)),""),"")</f>
        <v>#REF!</v>
      </c>
    </row>
    <row r="443" spans="1:6" x14ac:dyDescent="0.3">
      <c r="A443" s="11" t="e">
        <f>IF(#REF!&gt;=4,#REF!,"")</f>
        <v>#REF!</v>
      </c>
      <c r="B443" s="8">
        <v>13040011</v>
      </c>
      <c r="C443" s="8" t="s">
        <v>136</v>
      </c>
      <c r="D443" s="12" t="e">
        <f>IF(#REF!&gt;=4,IFERROR(MAX(0,#REF!)/IFERROR(_xlfn.SINGLE(_xlfn.XLOOKUP(B443,MA_ARTICULOS!$A:$A,MA_ARTICULOS!$E:$E,1)),1),0),"")</f>
        <v>#REF!</v>
      </c>
      <c r="E443" s="15" t="s">
        <v>65</v>
      </c>
      <c r="F443" s="22" t="e">
        <f>IF(#REF!&gt;=4,IFERROR(D443*_xlfn.SINGLE(_xlfn.XLOOKUP(B443,MA_ARTICULOS!$A:$A,MA_ARTICULOS!$E:$E,0)),""),"")</f>
        <v>#REF!</v>
      </c>
    </row>
    <row r="444" spans="1:6" x14ac:dyDescent="0.3">
      <c r="A444" s="11" t="e">
        <f>IF(#REF!&gt;=4,#REF!,"")</f>
        <v>#REF!</v>
      </c>
      <c r="B444" s="8">
        <v>13040012</v>
      </c>
      <c r="C444" s="8" t="s">
        <v>137</v>
      </c>
      <c r="D444" s="12" t="e">
        <f>IF(#REF!&gt;=4,IFERROR(MAX(0,#REF!)/IFERROR(_xlfn.SINGLE(_xlfn.XLOOKUP(B444,MA_ARTICULOS!$A:$A,MA_ARTICULOS!$E:$E,1)),1),0),"")</f>
        <v>#REF!</v>
      </c>
      <c r="E444" s="15" t="s">
        <v>65</v>
      </c>
      <c r="F444" s="22" t="e">
        <f>IF(#REF!&gt;=4,IFERROR(D444*_xlfn.SINGLE(_xlfn.XLOOKUP(B444,MA_ARTICULOS!$A:$A,MA_ARTICULOS!$E:$E,0)),""),"")</f>
        <v>#REF!</v>
      </c>
    </row>
    <row r="445" spans="1:6" x14ac:dyDescent="0.3">
      <c r="A445" s="11" t="e">
        <f>IF(#REF!&gt;=4,#REF!,"")</f>
        <v>#REF!</v>
      </c>
      <c r="B445" s="8">
        <v>13040013</v>
      </c>
      <c r="C445" s="8" t="s">
        <v>138</v>
      </c>
      <c r="D445" s="12" t="e">
        <f>IF(#REF!&gt;=4,IFERROR(MAX(0,#REF!)/IFERROR(_xlfn.SINGLE(_xlfn.XLOOKUP(B445,MA_ARTICULOS!$A:$A,MA_ARTICULOS!$E:$E,1)),1),0),"")</f>
        <v>#REF!</v>
      </c>
      <c r="E445" s="15" t="s">
        <v>65</v>
      </c>
      <c r="F445" s="22" t="e">
        <f>IF(#REF!&gt;=4,IFERROR(D445*_xlfn.SINGLE(_xlfn.XLOOKUP(B445,MA_ARTICULOS!$A:$A,MA_ARTICULOS!$E:$E,0)),""),"")</f>
        <v>#REF!</v>
      </c>
    </row>
    <row r="446" spans="1:6" x14ac:dyDescent="0.3">
      <c r="A446" s="11" t="e">
        <f>IF(#REF!&gt;=4,#REF!,"")</f>
        <v>#REF!</v>
      </c>
      <c r="B446" s="8">
        <v>13040014</v>
      </c>
      <c r="C446" s="8" t="s">
        <v>139</v>
      </c>
      <c r="D446" s="12" t="e">
        <f>IF(#REF!&gt;=4,IFERROR(MAX(0,#REF!)/IFERROR(_xlfn.SINGLE(_xlfn.XLOOKUP(B446,MA_ARTICULOS!$A:$A,MA_ARTICULOS!$E:$E,1)),1),0),"")</f>
        <v>#REF!</v>
      </c>
      <c r="E446" s="15" t="s">
        <v>65</v>
      </c>
      <c r="F446" s="22" t="e">
        <f>IF(#REF!&gt;=4,IFERROR(D446*_xlfn.SINGLE(_xlfn.XLOOKUP(B446,MA_ARTICULOS!$A:$A,MA_ARTICULOS!$E:$E,0)),""),"")</f>
        <v>#REF!</v>
      </c>
    </row>
    <row r="447" spans="1:6" x14ac:dyDescent="0.3">
      <c r="A447" s="11" t="e">
        <f>IF(#REF!&gt;=4,#REF!,"")</f>
        <v>#REF!</v>
      </c>
      <c r="B447" s="8">
        <v>13040015</v>
      </c>
      <c r="C447" s="8" t="s">
        <v>140</v>
      </c>
      <c r="D447" s="12" t="e">
        <f>IF(#REF!&gt;=4,IFERROR(MAX(0,#REF!)/IFERROR(_xlfn.SINGLE(_xlfn.XLOOKUP(B447,MA_ARTICULOS!$A:$A,MA_ARTICULOS!$E:$E,1)),1),0),"")</f>
        <v>#REF!</v>
      </c>
      <c r="E447" s="15" t="s">
        <v>65</v>
      </c>
      <c r="F447" s="22" t="e">
        <f>IF(#REF!&gt;=4,IFERROR(D447*_xlfn.SINGLE(_xlfn.XLOOKUP(B447,MA_ARTICULOS!$A:$A,MA_ARTICULOS!$E:$E,0)),""),"")</f>
        <v>#REF!</v>
      </c>
    </row>
    <row r="448" spans="1:6" x14ac:dyDescent="0.3">
      <c r="A448" s="11" t="e">
        <f>IF(#REF!&gt;=4,#REF!,"")</f>
        <v>#REF!</v>
      </c>
      <c r="B448" s="8">
        <v>13040016</v>
      </c>
      <c r="C448" s="8" t="s">
        <v>141</v>
      </c>
      <c r="D448" s="12" t="e">
        <f>IF(#REF!&gt;=4,IFERROR(MAX(0,#REF!)/IFERROR(_xlfn.SINGLE(_xlfn.XLOOKUP(B448,MA_ARTICULOS!$A:$A,MA_ARTICULOS!$E:$E,1)),1),0),"")</f>
        <v>#REF!</v>
      </c>
      <c r="E448" s="15" t="s">
        <v>65</v>
      </c>
      <c r="F448" s="22" t="e">
        <f>IF(#REF!&gt;=4,IFERROR(D448*_xlfn.SINGLE(_xlfn.XLOOKUP(B448,MA_ARTICULOS!$A:$A,MA_ARTICULOS!$E:$E,0)),""),"")</f>
        <v>#REF!</v>
      </c>
    </row>
    <row r="449" spans="1:6" x14ac:dyDescent="0.3">
      <c r="A449" s="11" t="e">
        <f>IF(#REF!&gt;=4,#REF!,"")</f>
        <v>#REF!</v>
      </c>
      <c r="B449" s="8">
        <v>13040017</v>
      </c>
      <c r="C449" s="8" t="s">
        <v>142</v>
      </c>
      <c r="D449" s="12" t="e">
        <f>IF(#REF!&gt;=4,IFERROR(MAX(0,#REF!)/IFERROR(_xlfn.SINGLE(_xlfn.XLOOKUP(B449,MA_ARTICULOS!$A:$A,MA_ARTICULOS!$E:$E,1)),1),0),"")</f>
        <v>#REF!</v>
      </c>
      <c r="E449" s="15" t="s">
        <v>65</v>
      </c>
      <c r="F449" s="22" t="e">
        <f>IF(#REF!&gt;=4,IFERROR(D449*_xlfn.SINGLE(_xlfn.XLOOKUP(B449,MA_ARTICULOS!$A:$A,MA_ARTICULOS!$E:$E,0)),""),"")</f>
        <v>#REF!</v>
      </c>
    </row>
    <row r="450" spans="1:6" x14ac:dyDescent="0.3">
      <c r="A450" s="11" t="e">
        <f>IF(#REF!&gt;=4,#REF!,"")</f>
        <v>#REF!</v>
      </c>
      <c r="B450" s="8">
        <v>13040018</v>
      </c>
      <c r="C450" s="8" t="s">
        <v>143</v>
      </c>
      <c r="D450" s="12" t="e">
        <f>IF(#REF!&gt;=4,IFERROR(MAX(0,#REF!)/IFERROR(_xlfn.SINGLE(_xlfn.XLOOKUP(B450,MA_ARTICULOS!$A:$A,MA_ARTICULOS!$E:$E,1)),1),0),"")</f>
        <v>#REF!</v>
      </c>
      <c r="E450" s="15" t="s">
        <v>65</v>
      </c>
      <c r="F450" s="22" t="e">
        <f>IF(#REF!&gt;=4,IFERROR(D450*_xlfn.SINGLE(_xlfn.XLOOKUP(B450,MA_ARTICULOS!$A:$A,MA_ARTICULOS!$E:$E,0)),""),"")</f>
        <v>#REF!</v>
      </c>
    </row>
    <row r="451" spans="1:6" x14ac:dyDescent="0.3">
      <c r="A451" s="11" t="e">
        <f>IF(#REF!&gt;=4,#REF!,"")</f>
        <v>#REF!</v>
      </c>
      <c r="B451" s="8">
        <v>13040101</v>
      </c>
      <c r="C451" s="8" t="s">
        <v>144</v>
      </c>
      <c r="D451" s="12" t="e">
        <f>IF(#REF!&gt;=4,IFERROR(MAX(0,#REF!)/IFERROR(_xlfn.SINGLE(_xlfn.XLOOKUP(B451,MA_ARTICULOS!$A:$A,MA_ARTICULOS!$E:$E,1)),1),0),"")</f>
        <v>#REF!</v>
      </c>
      <c r="E451" s="15" t="s">
        <v>65</v>
      </c>
      <c r="F451" s="22" t="e">
        <f>IF(#REF!&gt;=4,IFERROR(D451*_xlfn.SINGLE(_xlfn.XLOOKUP(B451,MA_ARTICULOS!$A:$A,MA_ARTICULOS!$E:$E,0)),""),"")</f>
        <v>#REF!</v>
      </c>
    </row>
    <row r="452" spans="1:6" x14ac:dyDescent="0.3">
      <c r="A452" s="11" t="e">
        <f>IF(#REF!&gt;=4,#REF!,"")</f>
        <v>#REF!</v>
      </c>
      <c r="B452" s="8">
        <v>13040102</v>
      </c>
      <c r="C452" s="8" t="s">
        <v>145</v>
      </c>
      <c r="D452" s="12" t="e">
        <f>IF(#REF!&gt;=4,IFERROR(MAX(0,#REF!)/IFERROR(_xlfn.SINGLE(_xlfn.XLOOKUP(B452,MA_ARTICULOS!$A:$A,MA_ARTICULOS!$E:$E,1)),1),0),"")</f>
        <v>#REF!</v>
      </c>
      <c r="E452" s="15" t="s">
        <v>65</v>
      </c>
      <c r="F452" s="22" t="e">
        <f>IF(#REF!&gt;=4,IFERROR(D452*_xlfn.SINGLE(_xlfn.XLOOKUP(B452,MA_ARTICULOS!$A:$A,MA_ARTICULOS!$E:$E,0)),""),"")</f>
        <v>#REF!</v>
      </c>
    </row>
    <row r="453" spans="1:6" x14ac:dyDescent="0.3">
      <c r="A453" s="11" t="e">
        <f>IF(#REF!&gt;=4,#REF!,"")</f>
        <v>#REF!</v>
      </c>
      <c r="B453" s="8">
        <v>13040103</v>
      </c>
      <c r="C453" s="8" t="s">
        <v>146</v>
      </c>
      <c r="D453" s="12" t="e">
        <f>IF(#REF!&gt;=4,IFERROR(MAX(0,#REF!)/IFERROR(_xlfn.SINGLE(_xlfn.XLOOKUP(B453,MA_ARTICULOS!$A:$A,MA_ARTICULOS!$E:$E,1)),1),0),"")</f>
        <v>#REF!</v>
      </c>
      <c r="E453" s="15" t="s">
        <v>65</v>
      </c>
      <c r="F453" s="22" t="e">
        <f>IF(#REF!&gt;=4,IFERROR(D453*_xlfn.SINGLE(_xlfn.XLOOKUP(B453,MA_ARTICULOS!$A:$A,MA_ARTICULOS!$E:$E,0)),""),"")</f>
        <v>#REF!</v>
      </c>
    </row>
    <row r="454" spans="1:6" x14ac:dyDescent="0.3">
      <c r="A454" s="11" t="e">
        <f>IF(#REF!&gt;=4,#REF!,"")</f>
        <v>#REF!</v>
      </c>
      <c r="B454" s="8">
        <v>13050001</v>
      </c>
      <c r="C454" s="8" t="s">
        <v>147</v>
      </c>
      <c r="D454" s="12" t="e">
        <f>IF(#REF!&gt;=4,IFERROR(MAX(0,#REF!)/IFERROR(_xlfn.SINGLE(_xlfn.XLOOKUP(B454,MA_ARTICULOS!$A:$A,MA_ARTICULOS!$E:$E,1)),1),0),"")</f>
        <v>#REF!</v>
      </c>
      <c r="E454" s="15" t="s">
        <v>65</v>
      </c>
      <c r="F454" s="22" t="e">
        <f>IF(#REF!&gt;=4,IFERROR(D454*_xlfn.SINGLE(_xlfn.XLOOKUP(B454,MA_ARTICULOS!$A:$A,MA_ARTICULOS!$E:$E,0)),""),"")</f>
        <v>#REF!</v>
      </c>
    </row>
    <row r="455" spans="1:6" x14ac:dyDescent="0.3">
      <c r="A455" s="11" t="e">
        <f>IF(#REF!&gt;=4,#REF!,"")</f>
        <v>#REF!</v>
      </c>
      <c r="B455" s="8">
        <v>13050002</v>
      </c>
      <c r="C455" s="8" t="s">
        <v>148</v>
      </c>
      <c r="D455" s="12" t="e">
        <f>IF(#REF!&gt;=4,IFERROR(MAX(0,#REF!)/IFERROR(_xlfn.SINGLE(_xlfn.XLOOKUP(B455,MA_ARTICULOS!$A:$A,MA_ARTICULOS!$E:$E,1)),1),0),"")</f>
        <v>#REF!</v>
      </c>
      <c r="E455" s="15" t="s">
        <v>65</v>
      </c>
      <c r="F455" s="22" t="e">
        <f>IF(#REF!&gt;=4,IFERROR(D455*_xlfn.SINGLE(_xlfn.XLOOKUP(B455,MA_ARTICULOS!$A:$A,MA_ARTICULOS!$E:$E,0)),""),"")</f>
        <v>#REF!</v>
      </c>
    </row>
    <row r="456" spans="1:6" x14ac:dyDescent="0.3">
      <c r="A456" s="11" t="e">
        <f>IF(#REF!&gt;=4,#REF!,"")</f>
        <v>#REF!</v>
      </c>
      <c r="B456" s="8">
        <v>13050003</v>
      </c>
      <c r="C456" s="8" t="s">
        <v>149</v>
      </c>
      <c r="D456" s="12" t="e">
        <f>IF(#REF!&gt;=4,IFERROR(MAX(0,#REF!)/IFERROR(_xlfn.SINGLE(_xlfn.XLOOKUP(B456,MA_ARTICULOS!$A:$A,MA_ARTICULOS!$E:$E,1)),1),0),"")</f>
        <v>#REF!</v>
      </c>
      <c r="E456" s="15" t="s">
        <v>65</v>
      </c>
      <c r="F456" s="22" t="e">
        <f>IF(#REF!&gt;=4,IFERROR(D456*_xlfn.SINGLE(_xlfn.XLOOKUP(B456,MA_ARTICULOS!$A:$A,MA_ARTICULOS!$E:$E,0)),""),"")</f>
        <v>#REF!</v>
      </c>
    </row>
    <row r="457" spans="1:6" x14ac:dyDescent="0.3">
      <c r="A457" s="11" t="e">
        <f>IF(#REF!&gt;=4,#REF!,"")</f>
        <v>#REF!</v>
      </c>
      <c r="B457" s="8">
        <v>13050004</v>
      </c>
      <c r="C457" s="8" t="s">
        <v>150</v>
      </c>
      <c r="D457" s="12" t="e">
        <f>IF(#REF!&gt;=4,IFERROR(MAX(0,#REF!)/IFERROR(_xlfn.SINGLE(_xlfn.XLOOKUP(B457,MA_ARTICULOS!$A:$A,MA_ARTICULOS!$E:$E,1)),1),0),"")</f>
        <v>#REF!</v>
      </c>
      <c r="E457" s="15" t="s">
        <v>65</v>
      </c>
      <c r="F457" s="22" t="e">
        <f>IF(#REF!&gt;=4,IFERROR(D457*_xlfn.SINGLE(_xlfn.XLOOKUP(B457,MA_ARTICULOS!$A:$A,MA_ARTICULOS!$E:$E,0)),""),"")</f>
        <v>#REF!</v>
      </c>
    </row>
    <row r="458" spans="1:6" x14ac:dyDescent="0.3">
      <c r="A458" s="11" t="e">
        <f>IF(#REF!&gt;=4,#REF!,"")</f>
        <v>#REF!</v>
      </c>
      <c r="B458" s="8">
        <v>13050005</v>
      </c>
      <c r="C458" s="8" t="s">
        <v>151</v>
      </c>
      <c r="D458" s="12" t="e">
        <f>IF(#REF!&gt;=4,IFERROR(MAX(0,#REF!)/IFERROR(_xlfn.SINGLE(_xlfn.XLOOKUP(B458,MA_ARTICULOS!$A:$A,MA_ARTICULOS!$E:$E,1)),1),0),"")</f>
        <v>#REF!</v>
      </c>
      <c r="E458" s="15" t="s">
        <v>65</v>
      </c>
      <c r="F458" s="22" t="e">
        <f>IF(#REF!&gt;=4,IFERROR(D458*_xlfn.SINGLE(_xlfn.XLOOKUP(B458,MA_ARTICULOS!$A:$A,MA_ARTICULOS!$E:$E,0)),""),"")</f>
        <v>#REF!</v>
      </c>
    </row>
    <row r="459" spans="1:6" x14ac:dyDescent="0.3">
      <c r="A459" s="11" t="e">
        <f>IF(#REF!&gt;=4,#REF!,"")</f>
        <v>#REF!</v>
      </c>
      <c r="B459" s="8">
        <v>13050006</v>
      </c>
      <c r="C459" s="8" t="s">
        <v>152</v>
      </c>
      <c r="D459" s="12" t="e">
        <f>IF(#REF!&gt;=4,IFERROR(MAX(0,#REF!)/IFERROR(_xlfn.SINGLE(_xlfn.XLOOKUP(B459,MA_ARTICULOS!$A:$A,MA_ARTICULOS!$E:$E,1)),1),0),"")</f>
        <v>#REF!</v>
      </c>
      <c r="E459" s="15" t="s">
        <v>65</v>
      </c>
      <c r="F459" s="22" t="e">
        <f>IF(#REF!&gt;=4,IFERROR(D459*_xlfn.SINGLE(_xlfn.XLOOKUP(B459,MA_ARTICULOS!$A:$A,MA_ARTICULOS!$E:$E,0)),""),"")</f>
        <v>#REF!</v>
      </c>
    </row>
    <row r="460" spans="1:6" x14ac:dyDescent="0.3">
      <c r="A460" s="11" t="e">
        <f>IF(#REF!&gt;=4,#REF!,"")</f>
        <v>#REF!</v>
      </c>
      <c r="B460" s="8">
        <v>13050007</v>
      </c>
      <c r="C460" s="8" t="s">
        <v>153</v>
      </c>
      <c r="D460" s="12" t="e">
        <f>IF(#REF!&gt;=4,IFERROR(MAX(0,#REF!)/IFERROR(_xlfn.SINGLE(_xlfn.XLOOKUP(B460,MA_ARTICULOS!$A:$A,MA_ARTICULOS!$E:$E,1)),1),0),"")</f>
        <v>#REF!</v>
      </c>
      <c r="E460" s="15" t="s">
        <v>65</v>
      </c>
      <c r="F460" s="22" t="e">
        <f>IF(#REF!&gt;=4,IFERROR(D460*_xlfn.SINGLE(_xlfn.XLOOKUP(B460,MA_ARTICULOS!$A:$A,MA_ARTICULOS!$E:$E,0)),""),"")</f>
        <v>#REF!</v>
      </c>
    </row>
    <row r="461" spans="1:6" x14ac:dyDescent="0.3">
      <c r="A461" s="11" t="e">
        <f>IF(#REF!&gt;=4,#REF!,"")</f>
        <v>#REF!</v>
      </c>
      <c r="B461" s="8">
        <v>13050008</v>
      </c>
      <c r="C461" s="8" t="s">
        <v>154</v>
      </c>
      <c r="D461" s="12" t="e">
        <f>IF(#REF!&gt;=4,IFERROR(MAX(0,#REF!)/IFERROR(_xlfn.SINGLE(_xlfn.XLOOKUP(B461,MA_ARTICULOS!$A:$A,MA_ARTICULOS!$E:$E,1)),1),0),"")</f>
        <v>#REF!</v>
      </c>
      <c r="E461" s="15" t="s">
        <v>65</v>
      </c>
      <c r="F461" s="22" t="e">
        <f>IF(#REF!&gt;=4,IFERROR(D461*_xlfn.SINGLE(_xlfn.XLOOKUP(B461,MA_ARTICULOS!$A:$A,MA_ARTICULOS!$E:$E,0)),""),"")</f>
        <v>#REF!</v>
      </c>
    </row>
    <row r="462" spans="1:6" x14ac:dyDescent="0.3">
      <c r="A462" s="11" t="e">
        <f>IF(#REF!&gt;=4,#REF!,"")</f>
        <v>#REF!</v>
      </c>
      <c r="B462" s="8">
        <v>13089001</v>
      </c>
      <c r="C462" s="8" t="s">
        <v>155</v>
      </c>
      <c r="D462" s="12" t="e">
        <f>IF(#REF!&gt;=4,IFERROR(MAX(0,#REF!)/IFERROR(_xlfn.SINGLE(_xlfn.XLOOKUP(B462,MA_ARTICULOS!$A:$A,MA_ARTICULOS!$E:$E,1)),1),0),"")</f>
        <v>#REF!</v>
      </c>
      <c r="E462" s="15" t="s">
        <v>65</v>
      </c>
      <c r="F462" s="22" t="e">
        <f>IF(#REF!&gt;=4,IFERROR(D462*_xlfn.SINGLE(_xlfn.XLOOKUP(B462,MA_ARTICULOS!$A:$A,MA_ARTICULOS!$E:$E,0)),""),"")</f>
        <v>#REF!</v>
      </c>
    </row>
    <row r="463" spans="1:6" x14ac:dyDescent="0.3">
      <c r="A463" s="11" t="e">
        <f>IF(#REF!&gt;=4,#REF!,"")</f>
        <v>#REF!</v>
      </c>
      <c r="B463" s="8">
        <v>13089002</v>
      </c>
      <c r="C463" s="8" t="s">
        <v>156</v>
      </c>
      <c r="D463" s="12" t="e">
        <f>IF(#REF!&gt;=4,IFERROR(MAX(0,#REF!)/IFERROR(_xlfn.SINGLE(_xlfn.XLOOKUP(B463,MA_ARTICULOS!$A:$A,MA_ARTICULOS!$E:$E,1)),1),0),"")</f>
        <v>#REF!</v>
      </c>
      <c r="E463" s="15" t="s">
        <v>65</v>
      </c>
      <c r="F463" s="22" t="e">
        <f>IF(#REF!&gt;=4,IFERROR(D463*_xlfn.SINGLE(_xlfn.XLOOKUP(B463,MA_ARTICULOS!$A:$A,MA_ARTICULOS!$E:$E,0)),""),"")</f>
        <v>#REF!</v>
      </c>
    </row>
    <row r="464" spans="1:6" x14ac:dyDescent="0.3">
      <c r="A464" s="11" t="e">
        <f>IF(#REF!&gt;=4,#REF!,"")</f>
        <v>#REF!</v>
      </c>
      <c r="B464" s="8">
        <v>13089003</v>
      </c>
      <c r="C464" s="8" t="s">
        <v>157</v>
      </c>
      <c r="D464" s="12" t="e">
        <f>IF(#REF!&gt;=4,IFERROR(MAX(0,#REF!)/IFERROR(_xlfn.SINGLE(_xlfn.XLOOKUP(B464,MA_ARTICULOS!$A:$A,MA_ARTICULOS!$E:$E,1)),1),0),"")</f>
        <v>#REF!</v>
      </c>
      <c r="E464" s="15" t="s">
        <v>65</v>
      </c>
      <c r="F464" s="22" t="e">
        <f>IF(#REF!&gt;=4,IFERROR(D464*_xlfn.SINGLE(_xlfn.XLOOKUP(B464,MA_ARTICULOS!$A:$A,MA_ARTICULOS!$E:$E,0)),""),"")</f>
        <v>#REF!</v>
      </c>
    </row>
    <row r="465" spans="1:6" x14ac:dyDescent="0.3">
      <c r="A465" s="11" t="e">
        <f>IF(#REF!&gt;=4,#REF!,"")</f>
        <v>#REF!</v>
      </c>
      <c r="B465" s="8">
        <v>13089004</v>
      </c>
      <c r="C465" s="8" t="s">
        <v>158</v>
      </c>
      <c r="D465" s="12" t="e">
        <f>IF(#REF!&gt;=4,IFERROR(MAX(0,#REF!)/IFERROR(_xlfn.SINGLE(_xlfn.XLOOKUP(B465,MA_ARTICULOS!$A:$A,MA_ARTICULOS!$E:$E,1)),1),0),"")</f>
        <v>#REF!</v>
      </c>
      <c r="E465" s="15" t="s">
        <v>65</v>
      </c>
      <c r="F465" s="22" t="e">
        <f>IF(#REF!&gt;=4,IFERROR(D465*_xlfn.SINGLE(_xlfn.XLOOKUP(B465,MA_ARTICULOS!$A:$A,MA_ARTICULOS!$E:$E,0)),""),"")</f>
        <v>#REF!</v>
      </c>
    </row>
    <row r="466" spans="1:6" x14ac:dyDescent="0.3">
      <c r="A466" s="11" t="e">
        <f>IF(#REF!&gt;=4,#REF!,"")</f>
        <v>#REF!</v>
      </c>
      <c r="B466" s="8">
        <v>13089005</v>
      </c>
      <c r="C466" s="8" t="s">
        <v>159</v>
      </c>
      <c r="D466" s="12" t="e">
        <f>IF(#REF!&gt;=4,IFERROR(MAX(0,#REF!)/IFERROR(_xlfn.SINGLE(_xlfn.XLOOKUP(B466,MA_ARTICULOS!$A:$A,MA_ARTICULOS!$E:$E,1)),1),0),"")</f>
        <v>#REF!</v>
      </c>
      <c r="E466" s="15" t="s">
        <v>65</v>
      </c>
      <c r="F466" s="22" t="e">
        <f>IF(#REF!&gt;=4,IFERROR(D466*_xlfn.SINGLE(_xlfn.XLOOKUP(B466,MA_ARTICULOS!$A:$A,MA_ARTICULOS!$E:$E,0)),""),"")</f>
        <v>#REF!</v>
      </c>
    </row>
    <row r="467" spans="1:6" x14ac:dyDescent="0.3">
      <c r="A467" s="11" t="e">
        <f>IF(#REF!&gt;=4,#REF!,"")</f>
        <v>#REF!</v>
      </c>
      <c r="B467" s="8">
        <v>13089006</v>
      </c>
      <c r="C467" s="8" t="s">
        <v>160</v>
      </c>
      <c r="D467" s="12" t="e">
        <f>IF(#REF!&gt;=4,IFERROR(MAX(0,#REF!)/IFERROR(_xlfn.SINGLE(_xlfn.XLOOKUP(B467,MA_ARTICULOS!$A:$A,MA_ARTICULOS!$E:$E,1)),1),0),"")</f>
        <v>#REF!</v>
      </c>
      <c r="E467" s="15" t="s">
        <v>65</v>
      </c>
      <c r="F467" s="22" t="e">
        <f>IF(#REF!&gt;=4,IFERROR(D467*_xlfn.SINGLE(_xlfn.XLOOKUP(B467,MA_ARTICULOS!$A:$A,MA_ARTICULOS!$E:$E,0)),""),"")</f>
        <v>#REF!</v>
      </c>
    </row>
    <row r="468" spans="1:6" x14ac:dyDescent="0.3">
      <c r="A468" s="11" t="e">
        <f>IF(#REF!&gt;=4,#REF!,"")</f>
        <v>#REF!</v>
      </c>
      <c r="B468" s="8">
        <v>13089007</v>
      </c>
      <c r="C468" s="8" t="s">
        <v>161</v>
      </c>
      <c r="D468" s="12" t="e">
        <f>IF(#REF!&gt;=4,IFERROR(MAX(0,#REF!)/IFERROR(_xlfn.SINGLE(_xlfn.XLOOKUP(B468,MA_ARTICULOS!$A:$A,MA_ARTICULOS!$E:$E,1)),1),0),"")</f>
        <v>#REF!</v>
      </c>
      <c r="E468" s="15" t="s">
        <v>65</v>
      </c>
      <c r="F468" s="22" t="e">
        <f>IF(#REF!&gt;=4,IFERROR(D468*_xlfn.SINGLE(_xlfn.XLOOKUP(B468,MA_ARTICULOS!$A:$A,MA_ARTICULOS!$E:$E,0)),""),"")</f>
        <v>#REF!</v>
      </c>
    </row>
    <row r="469" spans="1:6" x14ac:dyDescent="0.3">
      <c r="A469" s="11" t="e">
        <f>IF(#REF!&gt;=4,#REF!,"")</f>
        <v>#REF!</v>
      </c>
      <c r="B469" s="8">
        <v>13090001</v>
      </c>
      <c r="C469" s="8" t="s">
        <v>162</v>
      </c>
      <c r="D469" s="12" t="e">
        <f>IF(#REF!&gt;=4,IFERROR(MAX(0,#REF!)/IFERROR(_xlfn.SINGLE(_xlfn.XLOOKUP(B469,MA_ARTICULOS!$A:$A,MA_ARTICULOS!$E:$E,1)),1),0),"")</f>
        <v>#REF!</v>
      </c>
      <c r="E469" s="15" t="s">
        <v>65</v>
      </c>
      <c r="F469" s="22" t="e">
        <f>IF(#REF!&gt;=4,IFERROR(D469*_xlfn.SINGLE(_xlfn.XLOOKUP(B469,MA_ARTICULOS!$A:$A,MA_ARTICULOS!$E:$E,0)),""),"")</f>
        <v>#REF!</v>
      </c>
    </row>
    <row r="470" spans="1:6" x14ac:dyDescent="0.3">
      <c r="A470" s="11" t="e">
        <f>IF(#REF!&gt;=4,#REF!,"")</f>
        <v>#REF!</v>
      </c>
      <c r="B470" s="8">
        <v>13090002</v>
      </c>
      <c r="C470" s="8" t="s">
        <v>163</v>
      </c>
      <c r="D470" s="12" t="e">
        <f>IF(#REF!&gt;=4,IFERROR(MAX(0,#REF!)/IFERROR(_xlfn.SINGLE(_xlfn.XLOOKUP(B470,MA_ARTICULOS!$A:$A,MA_ARTICULOS!$E:$E,1)),1),0),"")</f>
        <v>#REF!</v>
      </c>
      <c r="E470" s="15" t="s">
        <v>65</v>
      </c>
      <c r="F470" s="22" t="e">
        <f>IF(#REF!&gt;=4,IFERROR(D470*_xlfn.SINGLE(_xlfn.XLOOKUP(B470,MA_ARTICULOS!$A:$A,MA_ARTICULOS!$E:$E,0)),""),"")</f>
        <v>#REF!</v>
      </c>
    </row>
    <row r="471" spans="1:6" x14ac:dyDescent="0.3">
      <c r="A471" s="11" t="e">
        <f>IF(#REF!&gt;=4,#REF!,"")</f>
        <v>#REF!</v>
      </c>
      <c r="B471" s="8">
        <v>13099001</v>
      </c>
      <c r="C471" s="8" t="s">
        <v>164</v>
      </c>
      <c r="D471" s="12" t="e">
        <f>IF(#REF!&gt;=4,IFERROR(MAX(0,#REF!)/IFERROR(_xlfn.SINGLE(_xlfn.XLOOKUP(B471,MA_ARTICULOS!$A:$A,MA_ARTICULOS!$E:$E,1)),1),0),"")</f>
        <v>#REF!</v>
      </c>
      <c r="E471" s="15" t="s">
        <v>65</v>
      </c>
      <c r="F471" s="22" t="e">
        <f>IF(#REF!&gt;=4,IFERROR(D471*_xlfn.SINGLE(_xlfn.XLOOKUP(B471,MA_ARTICULOS!$A:$A,MA_ARTICULOS!$E:$E,0)),""),"")</f>
        <v>#REF!</v>
      </c>
    </row>
    <row r="472" spans="1:6" x14ac:dyDescent="0.3">
      <c r="A472" s="11" t="e">
        <f>IF(#REF!&gt;=4,#REF!,"")</f>
        <v>#REF!</v>
      </c>
      <c r="B472" s="8">
        <v>13099002</v>
      </c>
      <c r="C472" s="8" t="s">
        <v>165</v>
      </c>
      <c r="D472" s="12" t="e">
        <f>IF(#REF!&gt;=4,IFERROR(MAX(0,#REF!)/IFERROR(_xlfn.SINGLE(_xlfn.XLOOKUP(B472,MA_ARTICULOS!$A:$A,MA_ARTICULOS!$E:$E,1)),1),0),"")</f>
        <v>#REF!</v>
      </c>
      <c r="E472" s="15" t="s">
        <v>65</v>
      </c>
      <c r="F472" s="22" t="e">
        <f>IF(#REF!&gt;=4,IFERROR(D472*_xlfn.SINGLE(_xlfn.XLOOKUP(B472,MA_ARTICULOS!$A:$A,MA_ARTICULOS!$E:$E,0)),""),"")</f>
        <v>#REF!</v>
      </c>
    </row>
    <row r="473" spans="1:6" x14ac:dyDescent="0.3">
      <c r="A473" s="11" t="e">
        <f>IF(#REF!&gt;=4,#REF!,"")</f>
        <v>#REF!</v>
      </c>
      <c r="B473" s="8">
        <v>13110001</v>
      </c>
      <c r="C473" s="8" t="s">
        <v>166</v>
      </c>
      <c r="D473" s="12" t="e">
        <f>IF(#REF!&gt;=4,IFERROR(MAX(0,#REF!)/IFERROR(_xlfn.SINGLE(_xlfn.XLOOKUP(B473,MA_ARTICULOS!$A:$A,MA_ARTICULOS!$E:$E,1)),1),0),"")</f>
        <v>#REF!</v>
      </c>
      <c r="E473" s="15" t="s">
        <v>65</v>
      </c>
      <c r="F473" s="22" t="e">
        <f>IF(#REF!&gt;=4,IFERROR(D473*_xlfn.SINGLE(_xlfn.XLOOKUP(B473,MA_ARTICULOS!$A:$A,MA_ARTICULOS!$E:$E,0)),""),"")</f>
        <v>#REF!</v>
      </c>
    </row>
    <row r="474" spans="1:6" x14ac:dyDescent="0.3">
      <c r="A474" s="11" t="e">
        <f>IF(#REF!&gt;=4,#REF!,"")</f>
        <v>#REF!</v>
      </c>
      <c r="B474" s="8">
        <v>13110002</v>
      </c>
      <c r="C474" s="8" t="s">
        <v>167</v>
      </c>
      <c r="D474" s="12" t="e">
        <f>IF(#REF!&gt;=4,IFERROR(MAX(0,#REF!)/IFERROR(_xlfn.SINGLE(_xlfn.XLOOKUP(B474,MA_ARTICULOS!$A:$A,MA_ARTICULOS!$E:$E,1)),1),0),"")</f>
        <v>#REF!</v>
      </c>
      <c r="E474" s="15" t="s">
        <v>65</v>
      </c>
      <c r="F474" s="22" t="e">
        <f>IF(#REF!&gt;=4,IFERROR(D474*_xlfn.SINGLE(_xlfn.XLOOKUP(B474,MA_ARTICULOS!$A:$A,MA_ARTICULOS!$E:$E,0)),""),"")</f>
        <v>#REF!</v>
      </c>
    </row>
    <row r="475" spans="1:6" x14ac:dyDescent="0.3">
      <c r="A475" s="11" t="e">
        <f>IF(#REF!&gt;=4,#REF!,"")</f>
        <v>#REF!</v>
      </c>
      <c r="B475" s="8">
        <v>13110003</v>
      </c>
      <c r="C475" s="8" t="s">
        <v>168</v>
      </c>
      <c r="D475" s="12" t="e">
        <f>IF(#REF!&gt;=4,IFERROR(MAX(0,#REF!)/IFERROR(_xlfn.SINGLE(_xlfn.XLOOKUP(B475,MA_ARTICULOS!$A:$A,MA_ARTICULOS!$E:$E,1)),1),0),"")</f>
        <v>#REF!</v>
      </c>
      <c r="E475" s="15" t="s">
        <v>65</v>
      </c>
      <c r="F475" s="22" t="e">
        <f>IF(#REF!&gt;=4,IFERROR(D475*_xlfn.SINGLE(_xlfn.XLOOKUP(B475,MA_ARTICULOS!$A:$A,MA_ARTICULOS!$E:$E,0)),""),"")</f>
        <v>#REF!</v>
      </c>
    </row>
    <row r="476" spans="1:6" x14ac:dyDescent="0.3">
      <c r="A476" s="11" t="e">
        <f>IF(#REF!&gt;=4,#REF!,"")</f>
        <v>#REF!</v>
      </c>
      <c r="B476" s="8">
        <v>13110004</v>
      </c>
      <c r="C476" s="8" t="s">
        <v>169</v>
      </c>
      <c r="D476" s="12" t="e">
        <f>IF(#REF!&gt;=4,IFERROR(MAX(0,#REF!)/IFERROR(_xlfn.SINGLE(_xlfn.XLOOKUP(B476,MA_ARTICULOS!$A:$A,MA_ARTICULOS!$E:$E,1)),1),0),"")</f>
        <v>#REF!</v>
      </c>
      <c r="E476" s="15" t="s">
        <v>65</v>
      </c>
      <c r="F476" s="22" t="e">
        <f>IF(#REF!&gt;=4,IFERROR(D476*_xlfn.SINGLE(_xlfn.XLOOKUP(B476,MA_ARTICULOS!$A:$A,MA_ARTICULOS!$E:$E,0)),""),"")</f>
        <v>#REF!</v>
      </c>
    </row>
    <row r="477" spans="1:6" x14ac:dyDescent="0.3">
      <c r="A477" s="11" t="e">
        <f>IF(#REF!&gt;=4,#REF!,"")</f>
        <v>#REF!</v>
      </c>
      <c r="B477" s="8">
        <v>13130001</v>
      </c>
      <c r="C477" s="8" t="s">
        <v>170</v>
      </c>
      <c r="D477" s="12" t="e">
        <f>IF(#REF!&gt;=4,IFERROR(MAX(0,#REF!)/IFERROR(_xlfn.SINGLE(_xlfn.XLOOKUP(B477,MA_ARTICULOS!$A:$A,MA_ARTICULOS!$E:$E,1)),1),0),"")</f>
        <v>#REF!</v>
      </c>
      <c r="E477" s="15" t="s">
        <v>65</v>
      </c>
      <c r="F477" s="22" t="e">
        <f>IF(#REF!&gt;=4,IFERROR(D477*_xlfn.SINGLE(_xlfn.XLOOKUP(B477,MA_ARTICULOS!$A:$A,MA_ARTICULOS!$E:$E,0)),""),"")</f>
        <v>#REF!</v>
      </c>
    </row>
    <row r="478" spans="1:6" x14ac:dyDescent="0.3">
      <c r="A478" s="11" t="e">
        <f>IF(#REF!&gt;=4,#REF!,"")</f>
        <v>#REF!</v>
      </c>
      <c r="B478" s="8">
        <v>13130002</v>
      </c>
      <c r="C478" s="8" t="s">
        <v>171</v>
      </c>
      <c r="D478" s="12" t="e">
        <f>IF(#REF!&gt;=4,IFERROR(MAX(0,#REF!)/IFERROR(_xlfn.SINGLE(_xlfn.XLOOKUP(B478,MA_ARTICULOS!$A:$A,MA_ARTICULOS!$E:$E,1)),1),0),"")</f>
        <v>#REF!</v>
      </c>
      <c r="E478" s="15" t="s">
        <v>65</v>
      </c>
      <c r="F478" s="22" t="e">
        <f>IF(#REF!&gt;=4,IFERROR(D478*_xlfn.SINGLE(_xlfn.XLOOKUP(B478,MA_ARTICULOS!$A:$A,MA_ARTICULOS!$E:$E,0)),""),"")</f>
        <v>#REF!</v>
      </c>
    </row>
    <row r="479" spans="1:6" x14ac:dyDescent="0.3">
      <c r="A479" s="11" t="e">
        <f>IF(#REF!&gt;=4,#REF!,"")</f>
        <v>#REF!</v>
      </c>
      <c r="B479" s="8">
        <v>13130003</v>
      </c>
      <c r="C479" s="8" t="s">
        <v>172</v>
      </c>
      <c r="D479" s="12" t="e">
        <f>IF(#REF!&gt;=4,IFERROR(MAX(0,#REF!)/IFERROR(_xlfn.SINGLE(_xlfn.XLOOKUP(B479,MA_ARTICULOS!$A:$A,MA_ARTICULOS!$E:$E,1)),1),0),"")</f>
        <v>#REF!</v>
      </c>
      <c r="E479" s="15" t="s">
        <v>65</v>
      </c>
      <c r="F479" s="22" t="e">
        <f>IF(#REF!&gt;=4,IFERROR(D479*_xlfn.SINGLE(_xlfn.XLOOKUP(B479,MA_ARTICULOS!$A:$A,MA_ARTICULOS!$E:$E,0)),""),"")</f>
        <v>#REF!</v>
      </c>
    </row>
    <row r="480" spans="1:6" x14ac:dyDescent="0.3">
      <c r="A480" s="11" t="e">
        <f>IF(#REF!&gt;=4,#REF!,"")</f>
        <v>#REF!</v>
      </c>
      <c r="B480" s="8">
        <v>23080001</v>
      </c>
      <c r="C480" s="8" t="s">
        <v>173</v>
      </c>
      <c r="D480" s="12" t="e">
        <f>IF(#REF!&gt;=4,IFERROR(MAX(0,#REF!)/IFERROR(_xlfn.SINGLE(_xlfn.XLOOKUP(B480,MA_ARTICULOS!$A:$A,MA_ARTICULOS!$E:$E,1)),1),0),"")</f>
        <v>#REF!</v>
      </c>
      <c r="E480" s="15" t="s">
        <v>65</v>
      </c>
      <c r="F480" s="22" t="e">
        <f>IF(#REF!&gt;=4,IFERROR(D480*_xlfn.SINGLE(_xlfn.XLOOKUP(B480,MA_ARTICULOS!$A:$A,MA_ARTICULOS!$E:$E,0)),""),"")</f>
        <v>#REF!</v>
      </c>
    </row>
    <row r="481" spans="1:6" x14ac:dyDescent="0.3">
      <c r="A481" s="11" t="e">
        <f>IF(#REF!&gt;=4,#REF!,"")</f>
        <v>#REF!</v>
      </c>
      <c r="B481" s="8">
        <v>23080002</v>
      </c>
      <c r="C481" s="8" t="s">
        <v>174</v>
      </c>
      <c r="D481" s="12" t="e">
        <f>IF(#REF!&gt;=4,IFERROR(MAX(0,#REF!)/IFERROR(_xlfn.SINGLE(_xlfn.XLOOKUP(B481,MA_ARTICULOS!$A:$A,MA_ARTICULOS!$E:$E,1)),1),0),"")</f>
        <v>#REF!</v>
      </c>
      <c r="E481" s="15" t="s">
        <v>65</v>
      </c>
      <c r="F481" s="22" t="e">
        <f>IF(#REF!&gt;=4,IFERROR(D481*_xlfn.SINGLE(_xlfn.XLOOKUP(B481,MA_ARTICULOS!$A:$A,MA_ARTICULOS!$E:$E,0)),""),"")</f>
        <v>#REF!</v>
      </c>
    </row>
    <row r="482" spans="1:6" x14ac:dyDescent="0.3">
      <c r="A482" s="11" t="e">
        <f>IF(#REF!&gt;=4,#REF!,"")</f>
        <v>#REF!</v>
      </c>
      <c r="B482" s="8">
        <v>23080003</v>
      </c>
      <c r="C482" s="8" t="s">
        <v>175</v>
      </c>
      <c r="D482" s="12" t="e">
        <f>IF(#REF!&gt;=4,IFERROR(MAX(0,#REF!)/IFERROR(_xlfn.SINGLE(_xlfn.XLOOKUP(B482,MA_ARTICULOS!$A:$A,MA_ARTICULOS!$E:$E,1)),1),0),"")</f>
        <v>#REF!</v>
      </c>
      <c r="E482" s="15" t="s">
        <v>65</v>
      </c>
      <c r="F482" s="22" t="e">
        <f>IF(#REF!&gt;=4,IFERROR(D482*_xlfn.SINGLE(_xlfn.XLOOKUP(B482,MA_ARTICULOS!$A:$A,MA_ARTICULOS!$E:$E,0)),""),"")</f>
        <v>#REF!</v>
      </c>
    </row>
    <row r="483" spans="1:6" x14ac:dyDescent="0.3">
      <c r="A483" s="11" t="e">
        <f>IF(#REF!&gt;=4,#REF!,"")</f>
        <v>#REF!</v>
      </c>
      <c r="B483" s="8">
        <v>23080004</v>
      </c>
      <c r="C483" s="8" t="s">
        <v>176</v>
      </c>
      <c r="D483" s="12" t="e">
        <f>IF(#REF!&gt;=4,IFERROR(MAX(0,#REF!)/IFERROR(_xlfn.SINGLE(_xlfn.XLOOKUP(B483,MA_ARTICULOS!$A:$A,MA_ARTICULOS!$E:$E,1)),1),0),"")</f>
        <v>#REF!</v>
      </c>
      <c r="E483" s="15" t="s">
        <v>65</v>
      </c>
      <c r="F483" s="22" t="e">
        <f>IF(#REF!&gt;=4,IFERROR(D483*_xlfn.SINGLE(_xlfn.XLOOKUP(B483,MA_ARTICULOS!$A:$A,MA_ARTICULOS!$E:$E,0)),""),"")</f>
        <v>#REF!</v>
      </c>
    </row>
    <row r="484" spans="1:6" x14ac:dyDescent="0.3">
      <c r="A484" s="11" t="e">
        <f>IF(#REF!&gt;=4,#REF!,"")</f>
        <v>#REF!</v>
      </c>
      <c r="B484" s="8">
        <v>23080005</v>
      </c>
      <c r="C484" s="8" t="s">
        <v>177</v>
      </c>
      <c r="D484" s="12" t="e">
        <f>IF(#REF!&gt;=4,IFERROR(MAX(0,#REF!)/IFERROR(_xlfn.SINGLE(_xlfn.XLOOKUP(B484,MA_ARTICULOS!$A:$A,MA_ARTICULOS!$E:$E,1)),1),0),"")</f>
        <v>#REF!</v>
      </c>
      <c r="E484" s="15" t="s">
        <v>65</v>
      </c>
      <c r="F484" s="22" t="e">
        <f>IF(#REF!&gt;=4,IFERROR(D484*_xlfn.SINGLE(_xlfn.XLOOKUP(B484,MA_ARTICULOS!$A:$A,MA_ARTICULOS!$E:$E,0)),""),"")</f>
        <v>#REF!</v>
      </c>
    </row>
    <row r="485" spans="1:6" x14ac:dyDescent="0.3">
      <c r="A485" s="11" t="e">
        <f>IF(#REF!&gt;=4,#REF!,"")</f>
        <v>#REF!</v>
      </c>
      <c r="B485" s="8">
        <v>23080006</v>
      </c>
      <c r="C485" s="8" t="s">
        <v>178</v>
      </c>
      <c r="D485" s="12" t="e">
        <f>IF(#REF!&gt;=4,IFERROR(MAX(0,#REF!)/IFERROR(_xlfn.SINGLE(_xlfn.XLOOKUP(B485,MA_ARTICULOS!$A:$A,MA_ARTICULOS!$E:$E,1)),1),0),"")</f>
        <v>#REF!</v>
      </c>
      <c r="E485" s="15" t="s">
        <v>65</v>
      </c>
      <c r="F485" s="22" t="e">
        <f>IF(#REF!&gt;=4,IFERROR(D485*_xlfn.SINGLE(_xlfn.XLOOKUP(B485,MA_ARTICULOS!$A:$A,MA_ARTICULOS!$E:$E,0)),""),"")</f>
        <v>#REF!</v>
      </c>
    </row>
    <row r="486" spans="1:6" x14ac:dyDescent="0.3">
      <c r="A486" s="11" t="e">
        <f>IF(#REF!&gt;=4,#REF!,"")</f>
        <v>#REF!</v>
      </c>
      <c r="B486" s="8">
        <v>23080007</v>
      </c>
      <c r="C486" s="8" t="s">
        <v>179</v>
      </c>
      <c r="D486" s="12" t="e">
        <f>IF(#REF!&gt;=4,IFERROR(MAX(0,#REF!)/IFERROR(_xlfn.SINGLE(_xlfn.XLOOKUP(B486,MA_ARTICULOS!$A:$A,MA_ARTICULOS!$E:$E,1)),1),0),"")</f>
        <v>#REF!</v>
      </c>
      <c r="E486" s="15" t="s">
        <v>65</v>
      </c>
      <c r="F486" s="22" t="e">
        <f>IF(#REF!&gt;=4,IFERROR(D486*_xlfn.SINGLE(_xlfn.XLOOKUP(B486,MA_ARTICULOS!$A:$A,MA_ARTICULOS!$E:$E,0)),""),"")</f>
        <v>#REF!</v>
      </c>
    </row>
    <row r="487" spans="1:6" x14ac:dyDescent="0.3">
      <c r="A487" s="11" t="e">
        <f>IF(#REF!&gt;=4,#REF!,"")</f>
        <v>#REF!</v>
      </c>
      <c r="B487" s="8">
        <v>101</v>
      </c>
      <c r="C487" s="8" t="s">
        <v>180</v>
      </c>
      <c r="D487" s="12" t="e">
        <f>IF(#REF!&gt;=4,IFERROR(MAX(0,#REF!)/IFERROR(_xlfn.SINGLE(_xlfn.XLOOKUP(B487,MA_ARTICULOS!$A:$A,MA_ARTICULOS!$E:$E,1)),1),0),"")</f>
        <v>#REF!</v>
      </c>
      <c r="E487" s="15" t="s">
        <v>65</v>
      </c>
      <c r="F487" s="22" t="e">
        <f>IF(#REF!&gt;=4,IFERROR(D487*_xlfn.SINGLE(_xlfn.XLOOKUP(B487,MA_ARTICULOS!$A:$A,MA_ARTICULOS!$E:$E,0)),""),"")</f>
        <v>#REF!</v>
      </c>
    </row>
    <row r="488" spans="1:6" x14ac:dyDescent="0.3">
      <c r="A488" s="11" t="e">
        <f>IF(#REF!&gt;=4,#REF!,"")</f>
        <v>#REF!</v>
      </c>
      <c r="B488" s="8">
        <v>102</v>
      </c>
      <c r="C488" s="8" t="s">
        <v>181</v>
      </c>
      <c r="D488" s="12" t="e">
        <f>IF(#REF!&gt;=4,IFERROR(MAX(0,#REF!)/IFERROR(_xlfn.SINGLE(_xlfn.XLOOKUP(B488,MA_ARTICULOS!$A:$A,MA_ARTICULOS!$E:$E,1)),1),0),"")</f>
        <v>#REF!</v>
      </c>
      <c r="E488" s="15" t="s">
        <v>65</v>
      </c>
      <c r="F488" s="22" t="e">
        <f>IF(#REF!&gt;=4,IFERROR(D488*_xlfn.SINGLE(_xlfn.XLOOKUP(B488,MA_ARTICULOS!$A:$A,MA_ARTICULOS!$E:$E,0)),""),"")</f>
        <v>#REF!</v>
      </c>
    </row>
    <row r="489" spans="1:6" x14ac:dyDescent="0.3">
      <c r="A489" s="11" t="e">
        <f>IF(#REF!&gt;=4,#REF!,"")</f>
        <v>#REF!</v>
      </c>
      <c r="B489" s="8">
        <v>104</v>
      </c>
      <c r="C489" s="8" t="s">
        <v>182</v>
      </c>
      <c r="D489" s="12" t="e">
        <f>IF(#REF!&gt;=4,IFERROR(MAX(0,#REF!)/IFERROR(_xlfn.SINGLE(_xlfn.XLOOKUP(B489,MA_ARTICULOS!$A:$A,MA_ARTICULOS!$E:$E,1)),1),0),"")</f>
        <v>#REF!</v>
      </c>
      <c r="E489" s="15" t="s">
        <v>65</v>
      </c>
      <c r="F489" s="22" t="e">
        <f>IF(#REF!&gt;=4,IFERROR(D489*_xlfn.SINGLE(_xlfn.XLOOKUP(B489,MA_ARTICULOS!$A:$A,MA_ARTICULOS!$E:$E,0)),""),"")</f>
        <v>#REF!</v>
      </c>
    </row>
    <row r="490" spans="1:6" x14ac:dyDescent="0.3">
      <c r="A490" s="11" t="e">
        <f>IF(#REF!&gt;=4,#REF!,"")</f>
        <v>#REF!</v>
      </c>
      <c r="B490" s="8">
        <v>105</v>
      </c>
      <c r="C490" s="8" t="s">
        <v>183</v>
      </c>
      <c r="D490" s="12" t="e">
        <f>IF(#REF!&gt;=4,IFERROR(MAX(0,#REF!)/IFERROR(_xlfn.SINGLE(_xlfn.XLOOKUP(B490,MA_ARTICULOS!$A:$A,MA_ARTICULOS!$E:$E,1)),1),0),"")</f>
        <v>#REF!</v>
      </c>
      <c r="E490" s="15" t="s">
        <v>65</v>
      </c>
      <c r="F490" s="22" t="e">
        <f>IF(#REF!&gt;=4,IFERROR(D490*_xlfn.SINGLE(_xlfn.XLOOKUP(B490,MA_ARTICULOS!$A:$A,MA_ARTICULOS!$E:$E,0)),""),"")</f>
        <v>#REF!</v>
      </c>
    </row>
    <row r="491" spans="1:6" x14ac:dyDescent="0.3">
      <c r="A491" s="11" t="e">
        <f>IF(#REF!&gt;=4,#REF!,"")</f>
        <v>#REF!</v>
      </c>
      <c r="B491" s="8">
        <v>106</v>
      </c>
      <c r="C491" s="8" t="s">
        <v>184</v>
      </c>
      <c r="D491" s="12" t="e">
        <f>IF(#REF!&gt;=4,IFERROR(MAX(0,#REF!)/IFERROR(_xlfn.SINGLE(_xlfn.XLOOKUP(B491,MA_ARTICULOS!$A:$A,MA_ARTICULOS!$E:$E,1)),1),0),"")</f>
        <v>#REF!</v>
      </c>
      <c r="E491" s="15" t="s">
        <v>65</v>
      </c>
      <c r="F491" s="22" t="e">
        <f>IF(#REF!&gt;=4,IFERROR(D491*_xlfn.SINGLE(_xlfn.XLOOKUP(B491,MA_ARTICULOS!$A:$A,MA_ARTICULOS!$E:$E,0)),""),"")</f>
        <v>#REF!</v>
      </c>
    </row>
    <row r="492" spans="1:6" x14ac:dyDescent="0.3">
      <c r="A492" s="11" t="e">
        <f>IF(#REF!&gt;=4,#REF!,"")</f>
        <v>#REF!</v>
      </c>
      <c r="B492" s="8">
        <v>120</v>
      </c>
      <c r="C492" s="8" t="s">
        <v>185</v>
      </c>
      <c r="D492" s="12" t="e">
        <f>IF(#REF!&gt;=4,IFERROR(MAX(0,#REF!)/IFERROR(_xlfn.SINGLE(_xlfn.XLOOKUP(B492,MA_ARTICULOS!$A:$A,MA_ARTICULOS!$E:$E,1)),1),0),"")</f>
        <v>#REF!</v>
      </c>
      <c r="E492" s="15" t="s">
        <v>65</v>
      </c>
      <c r="F492" s="22" t="e">
        <f>IF(#REF!&gt;=4,IFERROR(D492*_xlfn.SINGLE(_xlfn.XLOOKUP(B492,MA_ARTICULOS!$A:$A,MA_ARTICULOS!$E:$E,0)),""),"")</f>
        <v>#REF!</v>
      </c>
    </row>
    <row r="493" spans="1:6" x14ac:dyDescent="0.3">
      <c r="A493" s="11" t="e">
        <f>IF(#REF!&gt;=4,#REF!,"")</f>
        <v>#REF!</v>
      </c>
      <c r="B493" s="8">
        <v>121</v>
      </c>
      <c r="C493" s="8" t="s">
        <v>186</v>
      </c>
      <c r="D493" s="12" t="e">
        <f>IF(#REF!&gt;=4,IFERROR(MAX(0,#REF!)/IFERROR(_xlfn.SINGLE(_xlfn.XLOOKUP(B493,MA_ARTICULOS!$A:$A,MA_ARTICULOS!$E:$E,1)),1),0),"")</f>
        <v>#REF!</v>
      </c>
      <c r="E493" s="15" t="s">
        <v>65</v>
      </c>
      <c r="F493" s="22" t="e">
        <f>IF(#REF!&gt;=4,IFERROR(D493*_xlfn.SINGLE(_xlfn.XLOOKUP(B493,MA_ARTICULOS!$A:$A,MA_ARTICULOS!$E:$E,0)),""),"")</f>
        <v>#REF!</v>
      </c>
    </row>
    <row r="494" spans="1:6" x14ac:dyDescent="0.3">
      <c r="A494" s="18" t="s">
        <v>207</v>
      </c>
      <c r="B494" s="14"/>
      <c r="C494" s="14"/>
      <c r="D494" s="14"/>
      <c r="E494" s="14"/>
      <c r="F494" s="21"/>
    </row>
    <row r="495" spans="1:6" x14ac:dyDescent="0.3">
      <c r="A495" s="11" t="e">
        <f>IF(#REF!&gt;=5,#REF!,"")</f>
        <v>#REF!</v>
      </c>
      <c r="B495" s="8">
        <v>11010001</v>
      </c>
      <c r="C495" s="8" t="s">
        <v>64</v>
      </c>
      <c r="D495" s="12" t="e">
        <f>IF(#REF!&gt;=5,IFERROR(MAX(0,#REF!)/IFERROR(_xlfn.SINGLE(_xlfn.XLOOKUP(B495,MA_ARTICULOS!$A:$A,MA_ARTICULOS!$E:$E,1)),1),0),"")</f>
        <v>#REF!</v>
      </c>
      <c r="E495" s="15" t="s">
        <v>65</v>
      </c>
      <c r="F495" s="22" t="e">
        <f>IF(#REF!&gt;=5,IFERROR(D495*_xlfn.SINGLE(_xlfn.XLOOKUP(B495,MA_ARTICULOS!$A:$A,MA_ARTICULOS!$E:$E,0)),""),"")</f>
        <v>#REF!</v>
      </c>
    </row>
    <row r="496" spans="1:6" x14ac:dyDescent="0.3">
      <c r="A496" s="11" t="e">
        <f>IF(#REF!&gt;=5,#REF!,"")</f>
        <v>#REF!</v>
      </c>
      <c r="B496" s="8">
        <v>11010002</v>
      </c>
      <c r="C496" s="8" t="s">
        <v>66</v>
      </c>
      <c r="D496" s="12" t="e">
        <f>IF(#REF!&gt;=5,IFERROR(MAX(0,#REF!)/IFERROR(_xlfn.SINGLE(_xlfn.XLOOKUP(B496,MA_ARTICULOS!$A:$A,MA_ARTICULOS!$E:$E,1)),1),0),"")</f>
        <v>#REF!</v>
      </c>
      <c r="E496" s="15" t="s">
        <v>65</v>
      </c>
      <c r="F496" s="22" t="e">
        <f>IF(#REF!&gt;=5,IFERROR(D496*_xlfn.SINGLE(_xlfn.XLOOKUP(B496,MA_ARTICULOS!$A:$A,MA_ARTICULOS!$E:$E,0)),""),"")</f>
        <v>#REF!</v>
      </c>
    </row>
    <row r="497" spans="1:6" x14ac:dyDescent="0.3">
      <c r="A497" s="11" t="e">
        <f>IF(#REF!&gt;=5,#REF!,"")</f>
        <v>#REF!</v>
      </c>
      <c r="B497" s="8">
        <v>11010003</v>
      </c>
      <c r="C497" s="8" t="s">
        <v>67</v>
      </c>
      <c r="D497" s="12" t="e">
        <f>IF(#REF!&gt;=5,IFERROR(MAX(0,#REF!)/IFERROR(_xlfn.SINGLE(_xlfn.XLOOKUP(B497,MA_ARTICULOS!$A:$A,MA_ARTICULOS!$E:$E,1)),1),0),"")</f>
        <v>#REF!</v>
      </c>
      <c r="E497" s="15" t="s">
        <v>65</v>
      </c>
      <c r="F497" s="22" t="e">
        <f>IF(#REF!&gt;=5,IFERROR(D497*_xlfn.SINGLE(_xlfn.XLOOKUP(B497,MA_ARTICULOS!$A:$A,MA_ARTICULOS!$E:$E,0)),""),"")</f>
        <v>#REF!</v>
      </c>
    </row>
    <row r="498" spans="1:6" x14ac:dyDescent="0.3">
      <c r="A498" s="11" t="e">
        <f>IF(#REF!&gt;=5,#REF!,"")</f>
        <v>#REF!</v>
      </c>
      <c r="B498" s="8">
        <v>11010004</v>
      </c>
      <c r="C498" s="8" t="s">
        <v>68</v>
      </c>
      <c r="D498" s="12" t="e">
        <f>IF(#REF!&gt;=5,IFERROR(MAX(0,#REF!)/IFERROR(_xlfn.SINGLE(_xlfn.XLOOKUP(B498,MA_ARTICULOS!$A:$A,MA_ARTICULOS!$E:$E,1)),1),0),"")</f>
        <v>#REF!</v>
      </c>
      <c r="E498" s="15" t="s">
        <v>65</v>
      </c>
      <c r="F498" s="22" t="e">
        <f>IF(#REF!&gt;=5,IFERROR(D498*_xlfn.SINGLE(_xlfn.XLOOKUP(B498,MA_ARTICULOS!$A:$A,MA_ARTICULOS!$E:$E,0)),""),"")</f>
        <v>#REF!</v>
      </c>
    </row>
    <row r="499" spans="1:6" x14ac:dyDescent="0.3">
      <c r="A499" s="11" t="e">
        <f>IF(#REF!&gt;=5,#REF!,"")</f>
        <v>#REF!</v>
      </c>
      <c r="B499" s="8">
        <v>11010005</v>
      </c>
      <c r="C499" s="8" t="s">
        <v>69</v>
      </c>
      <c r="D499" s="12" t="e">
        <f>IF(#REF!&gt;=5,IFERROR(MAX(0,#REF!)/IFERROR(_xlfn.SINGLE(_xlfn.XLOOKUP(B499,MA_ARTICULOS!$A:$A,MA_ARTICULOS!$E:$E,1)),1),0),"")</f>
        <v>#REF!</v>
      </c>
      <c r="E499" s="15" t="s">
        <v>65</v>
      </c>
      <c r="F499" s="22" t="e">
        <f>IF(#REF!&gt;=5,IFERROR(D499*_xlfn.SINGLE(_xlfn.XLOOKUP(B499,MA_ARTICULOS!$A:$A,MA_ARTICULOS!$E:$E,0)),""),"")</f>
        <v>#REF!</v>
      </c>
    </row>
    <row r="500" spans="1:6" x14ac:dyDescent="0.3">
      <c r="A500" s="11" t="e">
        <f>IF(#REF!&gt;=5,#REF!,"")</f>
        <v>#REF!</v>
      </c>
      <c r="B500" s="8">
        <v>11010007</v>
      </c>
      <c r="C500" s="8" t="s">
        <v>70</v>
      </c>
      <c r="D500" s="12" t="e">
        <f>IF(#REF!&gt;=5,IFERROR(MAX(0,#REF!)/IFERROR(_xlfn.SINGLE(_xlfn.XLOOKUP(B500,MA_ARTICULOS!$A:$A,MA_ARTICULOS!$E:$E,1)),1),0),"")</f>
        <v>#REF!</v>
      </c>
      <c r="E500" s="15" t="s">
        <v>65</v>
      </c>
      <c r="F500" s="22" t="e">
        <f>IF(#REF!&gt;=5,IFERROR(D500*_xlfn.SINGLE(_xlfn.XLOOKUP(B500,MA_ARTICULOS!$A:$A,MA_ARTICULOS!$E:$E,0)),""),"")</f>
        <v>#REF!</v>
      </c>
    </row>
    <row r="501" spans="1:6" x14ac:dyDescent="0.3">
      <c r="A501" s="11" t="e">
        <f>IF(#REF!&gt;=5,#REF!,"")</f>
        <v>#REF!</v>
      </c>
      <c r="B501" s="8">
        <v>11010008</v>
      </c>
      <c r="C501" s="8" t="s">
        <v>71</v>
      </c>
      <c r="D501" s="12" t="e">
        <f>IF(#REF!&gt;=5,IFERROR(MAX(0,#REF!)/IFERROR(_xlfn.SINGLE(_xlfn.XLOOKUP(B501,MA_ARTICULOS!$A:$A,MA_ARTICULOS!$E:$E,1)),1),0),"")</f>
        <v>#REF!</v>
      </c>
      <c r="E501" s="15" t="s">
        <v>65</v>
      </c>
      <c r="F501" s="22" t="e">
        <f>IF(#REF!&gt;=5,IFERROR(D501*_xlfn.SINGLE(_xlfn.XLOOKUP(B501,MA_ARTICULOS!$A:$A,MA_ARTICULOS!$E:$E,0)),""),"")</f>
        <v>#REF!</v>
      </c>
    </row>
    <row r="502" spans="1:6" x14ac:dyDescent="0.3">
      <c r="A502" s="11" t="e">
        <f>IF(#REF!&gt;=5,#REF!,"")</f>
        <v>#REF!</v>
      </c>
      <c r="B502" s="8">
        <v>11010009</v>
      </c>
      <c r="C502" s="8" t="s">
        <v>72</v>
      </c>
      <c r="D502" s="12" t="e">
        <f>IF(#REF!&gt;=5,IFERROR(MAX(0,#REF!)/IFERROR(_xlfn.SINGLE(_xlfn.XLOOKUP(B502,MA_ARTICULOS!$A:$A,MA_ARTICULOS!$E:$E,1)),1),0),"")</f>
        <v>#REF!</v>
      </c>
      <c r="E502" s="15" t="s">
        <v>65</v>
      </c>
      <c r="F502" s="22" t="e">
        <f>IF(#REF!&gt;=5,IFERROR(D502*_xlfn.SINGLE(_xlfn.XLOOKUP(B502,MA_ARTICULOS!$A:$A,MA_ARTICULOS!$E:$E,0)),""),"")</f>
        <v>#REF!</v>
      </c>
    </row>
    <row r="503" spans="1:6" x14ac:dyDescent="0.3">
      <c r="A503" s="11" t="e">
        <f>IF(#REF!&gt;=5,#REF!,"")</f>
        <v>#REF!</v>
      </c>
      <c r="B503" s="8">
        <v>11010010</v>
      </c>
      <c r="C503" s="8" t="s">
        <v>73</v>
      </c>
      <c r="D503" s="12" t="e">
        <f>IF(#REF!&gt;=5,IFERROR(MAX(0,#REF!)/IFERROR(_xlfn.SINGLE(_xlfn.XLOOKUP(B503,MA_ARTICULOS!$A:$A,MA_ARTICULOS!$E:$E,1)),1),0),"")</f>
        <v>#REF!</v>
      </c>
      <c r="E503" s="15" t="s">
        <v>65</v>
      </c>
      <c r="F503" s="22" t="e">
        <f>IF(#REF!&gt;=5,IFERROR(D503*_xlfn.SINGLE(_xlfn.XLOOKUP(B503,MA_ARTICULOS!$A:$A,MA_ARTICULOS!$E:$E,0)),""),"")</f>
        <v>#REF!</v>
      </c>
    </row>
    <row r="504" spans="1:6" x14ac:dyDescent="0.3">
      <c r="A504" s="11" t="e">
        <f>IF(#REF!&gt;=5,#REF!,"")</f>
        <v>#REF!</v>
      </c>
      <c r="B504" s="8">
        <v>11010011</v>
      </c>
      <c r="C504" s="8" t="s">
        <v>74</v>
      </c>
      <c r="D504" s="12" t="e">
        <f>IF(#REF!&gt;=5,IFERROR(MAX(0,#REF!)/IFERROR(_xlfn.SINGLE(_xlfn.XLOOKUP(B504,MA_ARTICULOS!$A:$A,MA_ARTICULOS!$E:$E,1)),1),0),"")</f>
        <v>#REF!</v>
      </c>
      <c r="E504" s="15" t="s">
        <v>65</v>
      </c>
      <c r="F504" s="22" t="e">
        <f>IF(#REF!&gt;=5,IFERROR(D504*_xlfn.SINGLE(_xlfn.XLOOKUP(B504,MA_ARTICULOS!$A:$A,MA_ARTICULOS!$E:$E,0)),""),"")</f>
        <v>#REF!</v>
      </c>
    </row>
    <row r="505" spans="1:6" x14ac:dyDescent="0.3">
      <c r="A505" s="11" t="e">
        <f>IF(#REF!&gt;=5,#REF!,"")</f>
        <v>#REF!</v>
      </c>
      <c r="B505" s="8">
        <v>11010013</v>
      </c>
      <c r="C505" s="8" t="s">
        <v>75</v>
      </c>
      <c r="D505" s="12" t="e">
        <f>IF(#REF!&gt;=5,IFERROR(MAX(0,#REF!)/IFERROR(_xlfn.SINGLE(_xlfn.XLOOKUP(B505,MA_ARTICULOS!$A:$A,MA_ARTICULOS!$E:$E,1)),1),0),"")</f>
        <v>#REF!</v>
      </c>
      <c r="E505" s="15" t="s">
        <v>65</v>
      </c>
      <c r="F505" s="22" t="e">
        <f>IF(#REF!&gt;=5,IFERROR(D505*_xlfn.SINGLE(_xlfn.XLOOKUP(B505,MA_ARTICULOS!$A:$A,MA_ARTICULOS!$E:$E,0)),""),"")</f>
        <v>#REF!</v>
      </c>
    </row>
    <row r="506" spans="1:6" x14ac:dyDescent="0.3">
      <c r="A506" s="11" t="e">
        <f>IF(#REF!&gt;=5,#REF!,"")</f>
        <v>#REF!</v>
      </c>
      <c r="B506" s="8">
        <v>11010014</v>
      </c>
      <c r="C506" s="8" t="s">
        <v>76</v>
      </c>
      <c r="D506" s="12" t="e">
        <f>IF(#REF!&gt;=5,IFERROR(MAX(0,#REF!)/IFERROR(_xlfn.SINGLE(_xlfn.XLOOKUP(B506,MA_ARTICULOS!$A:$A,MA_ARTICULOS!$E:$E,1)),1),0),"")</f>
        <v>#REF!</v>
      </c>
      <c r="E506" s="15" t="s">
        <v>65</v>
      </c>
      <c r="F506" s="22" t="e">
        <f>IF(#REF!&gt;=5,IFERROR(D506*_xlfn.SINGLE(_xlfn.XLOOKUP(B506,MA_ARTICULOS!$A:$A,MA_ARTICULOS!$E:$E,0)),""),"")</f>
        <v>#REF!</v>
      </c>
    </row>
    <row r="507" spans="1:6" x14ac:dyDescent="0.3">
      <c r="A507" s="11" t="e">
        <f>IF(#REF!&gt;=5,#REF!,"")</f>
        <v>#REF!</v>
      </c>
      <c r="B507" s="8">
        <v>11010015</v>
      </c>
      <c r="C507" s="8" t="s">
        <v>77</v>
      </c>
      <c r="D507" s="12" t="e">
        <f>IF(#REF!&gt;=5,IFERROR(MAX(0,#REF!)/IFERROR(_xlfn.SINGLE(_xlfn.XLOOKUP(B507,MA_ARTICULOS!$A:$A,MA_ARTICULOS!$E:$E,1)),1),0),"")</f>
        <v>#REF!</v>
      </c>
      <c r="E507" s="15" t="s">
        <v>65</v>
      </c>
      <c r="F507" s="22" t="e">
        <f>IF(#REF!&gt;=5,IFERROR(D507*_xlfn.SINGLE(_xlfn.XLOOKUP(B507,MA_ARTICULOS!$A:$A,MA_ARTICULOS!$E:$E,0)),""),"")</f>
        <v>#REF!</v>
      </c>
    </row>
    <row r="508" spans="1:6" x14ac:dyDescent="0.3">
      <c r="A508" s="11" t="e">
        <f>IF(#REF!&gt;=5,#REF!,"")</f>
        <v>#REF!</v>
      </c>
      <c r="B508" s="8">
        <v>11010018</v>
      </c>
      <c r="C508" s="8" t="s">
        <v>78</v>
      </c>
      <c r="D508" s="12" t="e">
        <f>IF(#REF!&gt;=5,IFERROR(MAX(0,#REF!)/IFERROR(_xlfn.SINGLE(_xlfn.XLOOKUP(B508,MA_ARTICULOS!$A:$A,MA_ARTICULOS!$E:$E,1)),1),0),"")</f>
        <v>#REF!</v>
      </c>
      <c r="E508" s="15" t="s">
        <v>65</v>
      </c>
      <c r="F508" s="22" t="e">
        <f>IF(#REF!&gt;=5,IFERROR(D508*_xlfn.SINGLE(_xlfn.XLOOKUP(B508,MA_ARTICULOS!$A:$A,MA_ARTICULOS!$E:$E,0)),""),"")</f>
        <v>#REF!</v>
      </c>
    </row>
    <row r="509" spans="1:6" x14ac:dyDescent="0.3">
      <c r="A509" s="11" t="e">
        <f>IF(#REF!&gt;=5,#REF!,"")</f>
        <v>#REF!</v>
      </c>
      <c r="B509" s="8">
        <v>11010019</v>
      </c>
      <c r="C509" s="8" t="s">
        <v>79</v>
      </c>
      <c r="D509" s="12" t="e">
        <f>IF(#REF!&gt;=5,IFERROR(MAX(0,#REF!)/IFERROR(_xlfn.SINGLE(_xlfn.XLOOKUP(B509,MA_ARTICULOS!$A:$A,MA_ARTICULOS!$E:$E,1)),1),0),"")</f>
        <v>#REF!</v>
      </c>
      <c r="E509" s="15" t="s">
        <v>65</v>
      </c>
      <c r="F509" s="22" t="e">
        <f>IF(#REF!&gt;=5,IFERROR(D509*_xlfn.SINGLE(_xlfn.XLOOKUP(B509,MA_ARTICULOS!$A:$A,MA_ARTICULOS!$E:$E,0)),""),"")</f>
        <v>#REF!</v>
      </c>
    </row>
    <row r="510" spans="1:6" x14ac:dyDescent="0.3">
      <c r="A510" s="11" t="e">
        <f>IF(#REF!&gt;=5,#REF!,"")</f>
        <v>#REF!</v>
      </c>
      <c r="B510" s="8">
        <v>11010020</v>
      </c>
      <c r="C510" s="8" t="s">
        <v>80</v>
      </c>
      <c r="D510" s="12" t="e">
        <f>IF(#REF!&gt;=5,IFERROR(MAX(0,#REF!)/IFERROR(_xlfn.SINGLE(_xlfn.XLOOKUP(B510,MA_ARTICULOS!$A:$A,MA_ARTICULOS!$E:$E,1)),1),0),"")</f>
        <v>#REF!</v>
      </c>
      <c r="E510" s="15" t="s">
        <v>65</v>
      </c>
      <c r="F510" s="22" t="e">
        <f>IF(#REF!&gt;=5,IFERROR(D510*_xlfn.SINGLE(_xlfn.XLOOKUP(B510,MA_ARTICULOS!$A:$A,MA_ARTICULOS!$E:$E,0)),""),"")</f>
        <v>#REF!</v>
      </c>
    </row>
    <row r="511" spans="1:6" x14ac:dyDescent="0.3">
      <c r="A511" s="11" t="e">
        <f>IF(#REF!&gt;=5,#REF!,"")</f>
        <v>#REF!</v>
      </c>
      <c r="B511" s="8">
        <v>11010022</v>
      </c>
      <c r="C511" s="8" t="s">
        <v>81</v>
      </c>
      <c r="D511" s="12" t="e">
        <f>IF(#REF!&gt;=5,IFERROR(MAX(0,#REF!)/IFERROR(_xlfn.SINGLE(_xlfn.XLOOKUP(B511,MA_ARTICULOS!$A:$A,MA_ARTICULOS!$E:$E,1)),1),0),"")</f>
        <v>#REF!</v>
      </c>
      <c r="E511" s="15" t="s">
        <v>65</v>
      </c>
      <c r="F511" s="22" t="e">
        <f>IF(#REF!&gt;=5,IFERROR(D511*_xlfn.SINGLE(_xlfn.XLOOKUP(B511,MA_ARTICULOS!$A:$A,MA_ARTICULOS!$E:$E,0)),""),"")</f>
        <v>#REF!</v>
      </c>
    </row>
    <row r="512" spans="1:6" x14ac:dyDescent="0.3">
      <c r="A512" s="11" t="e">
        <f>IF(#REF!&gt;=5,#REF!,"")</f>
        <v>#REF!</v>
      </c>
      <c r="B512" s="8">
        <v>11010023</v>
      </c>
      <c r="C512" s="8" t="s">
        <v>82</v>
      </c>
      <c r="D512" s="12" t="e">
        <f>IF(#REF!&gt;=5,IFERROR(MAX(0,#REF!)/IFERROR(_xlfn.SINGLE(_xlfn.XLOOKUP(B512,MA_ARTICULOS!$A:$A,MA_ARTICULOS!$E:$E,1)),1),0),"")</f>
        <v>#REF!</v>
      </c>
      <c r="E512" s="15" t="s">
        <v>65</v>
      </c>
      <c r="F512" s="22" t="e">
        <f>IF(#REF!&gt;=5,IFERROR(D512*_xlfn.SINGLE(_xlfn.XLOOKUP(B512,MA_ARTICULOS!$A:$A,MA_ARTICULOS!$E:$E,0)),""),"")</f>
        <v>#REF!</v>
      </c>
    </row>
    <row r="513" spans="1:6" x14ac:dyDescent="0.3">
      <c r="A513" s="11" t="e">
        <f>IF(#REF!&gt;=5,#REF!,"")</f>
        <v>#REF!</v>
      </c>
      <c r="B513" s="8">
        <v>11010027</v>
      </c>
      <c r="C513" s="8" t="s">
        <v>83</v>
      </c>
      <c r="D513" s="12" t="e">
        <f>IF(#REF!&gt;=5,IFERROR(MAX(0,#REF!)/IFERROR(_xlfn.SINGLE(_xlfn.XLOOKUP(B513,MA_ARTICULOS!$A:$A,MA_ARTICULOS!$E:$E,1)),1),0),"")</f>
        <v>#REF!</v>
      </c>
      <c r="E513" s="15" t="s">
        <v>65</v>
      </c>
      <c r="F513" s="22" t="e">
        <f>IF(#REF!&gt;=5,IFERROR(D513*_xlfn.SINGLE(_xlfn.XLOOKUP(B513,MA_ARTICULOS!$A:$A,MA_ARTICULOS!$E:$E,0)),""),"")</f>
        <v>#REF!</v>
      </c>
    </row>
    <row r="514" spans="1:6" x14ac:dyDescent="0.3">
      <c r="A514" s="11" t="e">
        <f>IF(#REF!&gt;=5,#REF!,"")</f>
        <v>#REF!</v>
      </c>
      <c r="B514" s="8">
        <v>11010201</v>
      </c>
      <c r="C514" s="8" t="s">
        <v>84</v>
      </c>
      <c r="D514" s="12" t="e">
        <f>IF(#REF!&gt;=5,IFERROR(MAX(0,#REF!)/IFERROR(_xlfn.SINGLE(_xlfn.XLOOKUP(B514,MA_ARTICULOS!$A:$A,MA_ARTICULOS!$E:$E,1)),1),0),"")</f>
        <v>#REF!</v>
      </c>
      <c r="E514" s="15" t="s">
        <v>65</v>
      </c>
      <c r="F514" s="22" t="e">
        <f>IF(#REF!&gt;=5,IFERROR(D514*_xlfn.SINGLE(_xlfn.XLOOKUP(B514,MA_ARTICULOS!$A:$A,MA_ARTICULOS!$E:$E,0)),""),"")</f>
        <v>#REF!</v>
      </c>
    </row>
    <row r="515" spans="1:6" x14ac:dyDescent="0.3">
      <c r="A515" s="11" t="e">
        <f>IF(#REF!&gt;=5,#REF!,"")</f>
        <v>#REF!</v>
      </c>
      <c r="B515" s="8">
        <v>11010202</v>
      </c>
      <c r="C515" s="8" t="s">
        <v>85</v>
      </c>
      <c r="D515" s="12" t="e">
        <f>IF(#REF!&gt;=5,IFERROR(MAX(0,#REF!)/IFERROR(_xlfn.SINGLE(_xlfn.XLOOKUP(B515,MA_ARTICULOS!$A:$A,MA_ARTICULOS!$E:$E,1)),1),0),"")</f>
        <v>#REF!</v>
      </c>
      <c r="E515" s="15" t="s">
        <v>65</v>
      </c>
      <c r="F515" s="22" t="e">
        <f>IF(#REF!&gt;=5,IFERROR(D515*_xlfn.SINGLE(_xlfn.XLOOKUP(B515,MA_ARTICULOS!$A:$A,MA_ARTICULOS!$E:$E,0)),""),"")</f>
        <v>#REF!</v>
      </c>
    </row>
    <row r="516" spans="1:6" x14ac:dyDescent="0.3">
      <c r="A516" s="11" t="e">
        <f>IF(#REF!&gt;=5,#REF!,"")</f>
        <v>#REF!</v>
      </c>
      <c r="B516" s="8">
        <v>11010203</v>
      </c>
      <c r="C516" s="8" t="s">
        <v>86</v>
      </c>
      <c r="D516" s="12" t="e">
        <f>IF(#REF!&gt;=5,IFERROR(MAX(0,#REF!)/IFERROR(_xlfn.SINGLE(_xlfn.XLOOKUP(B516,MA_ARTICULOS!$A:$A,MA_ARTICULOS!$E:$E,1)),1),0),"")</f>
        <v>#REF!</v>
      </c>
      <c r="E516" s="15" t="s">
        <v>65</v>
      </c>
      <c r="F516" s="22" t="e">
        <f>IF(#REF!&gt;=5,IFERROR(D516*_xlfn.SINGLE(_xlfn.XLOOKUP(B516,MA_ARTICULOS!$A:$A,MA_ARTICULOS!$E:$E,0)),""),"")</f>
        <v>#REF!</v>
      </c>
    </row>
    <row r="517" spans="1:6" x14ac:dyDescent="0.3">
      <c r="A517" s="11" t="e">
        <f>IF(#REF!&gt;=5,#REF!,"")</f>
        <v>#REF!</v>
      </c>
      <c r="B517" s="8">
        <v>11010204</v>
      </c>
      <c r="C517" s="8" t="s">
        <v>87</v>
      </c>
      <c r="D517" s="12" t="e">
        <f>IF(#REF!&gt;=5,IFERROR(MAX(0,#REF!)/IFERROR(_xlfn.SINGLE(_xlfn.XLOOKUP(B517,MA_ARTICULOS!$A:$A,MA_ARTICULOS!$E:$E,1)),1),0),"")</f>
        <v>#REF!</v>
      </c>
      <c r="E517" s="15" t="s">
        <v>65</v>
      </c>
      <c r="F517" s="22" t="e">
        <f>IF(#REF!&gt;=5,IFERROR(D517*_xlfn.SINGLE(_xlfn.XLOOKUP(B517,MA_ARTICULOS!$A:$A,MA_ARTICULOS!$E:$E,0)),""),"")</f>
        <v>#REF!</v>
      </c>
    </row>
    <row r="518" spans="1:6" x14ac:dyDescent="0.3">
      <c r="A518" s="11" t="e">
        <f>IF(#REF!&gt;=5,#REF!,"")</f>
        <v>#REF!</v>
      </c>
      <c r="B518" s="8">
        <v>11010301</v>
      </c>
      <c r="C518" s="8" t="s">
        <v>88</v>
      </c>
      <c r="D518" s="12" t="e">
        <f>IF(#REF!&gt;=5,IFERROR(MAX(0,#REF!)/IFERROR(_xlfn.SINGLE(_xlfn.XLOOKUP(B518,MA_ARTICULOS!$A:$A,MA_ARTICULOS!$E:$E,1)),1),0),"")</f>
        <v>#REF!</v>
      </c>
      <c r="E518" s="15" t="s">
        <v>65</v>
      </c>
      <c r="F518" s="22" t="e">
        <f>IF(#REF!&gt;=5,IFERROR(D518*_xlfn.SINGLE(_xlfn.XLOOKUP(B518,MA_ARTICULOS!$A:$A,MA_ARTICULOS!$E:$E,0)),""),"")</f>
        <v>#REF!</v>
      </c>
    </row>
    <row r="519" spans="1:6" x14ac:dyDescent="0.3">
      <c r="A519" s="11" t="e">
        <f>IF(#REF!&gt;=5,#REF!,"")</f>
        <v>#REF!</v>
      </c>
      <c r="B519" s="8">
        <v>11010302</v>
      </c>
      <c r="C519" s="8" t="s">
        <v>89</v>
      </c>
      <c r="D519" s="12" t="e">
        <f>IF(#REF!&gt;=5,IFERROR(MAX(0,#REF!)/IFERROR(_xlfn.SINGLE(_xlfn.XLOOKUP(B519,MA_ARTICULOS!$A:$A,MA_ARTICULOS!$E:$E,1)),1),0),"")</f>
        <v>#REF!</v>
      </c>
      <c r="E519" s="15" t="s">
        <v>65</v>
      </c>
      <c r="F519" s="22" t="e">
        <f>IF(#REF!&gt;=5,IFERROR(D519*_xlfn.SINGLE(_xlfn.XLOOKUP(B519,MA_ARTICULOS!$A:$A,MA_ARTICULOS!$E:$E,0)),""),"")</f>
        <v>#REF!</v>
      </c>
    </row>
    <row r="520" spans="1:6" x14ac:dyDescent="0.3">
      <c r="A520" s="11" t="e">
        <f>IF(#REF!&gt;=5,#REF!,"")</f>
        <v>#REF!</v>
      </c>
      <c r="B520" s="8">
        <v>11010303</v>
      </c>
      <c r="C520" s="8" t="s">
        <v>90</v>
      </c>
      <c r="D520" s="12" t="e">
        <f>IF(#REF!&gt;=5,IFERROR(MAX(0,#REF!)/IFERROR(_xlfn.SINGLE(_xlfn.XLOOKUP(B520,MA_ARTICULOS!$A:$A,MA_ARTICULOS!$E:$E,1)),1),0),"")</f>
        <v>#REF!</v>
      </c>
      <c r="E520" s="15" t="s">
        <v>65</v>
      </c>
      <c r="F520" s="22" t="e">
        <f>IF(#REF!&gt;=5,IFERROR(D520*_xlfn.SINGLE(_xlfn.XLOOKUP(B520,MA_ARTICULOS!$A:$A,MA_ARTICULOS!$E:$E,0)),""),"")</f>
        <v>#REF!</v>
      </c>
    </row>
    <row r="521" spans="1:6" x14ac:dyDescent="0.3">
      <c r="A521" s="11" t="e">
        <f>IF(#REF!&gt;=5,#REF!,"")</f>
        <v>#REF!</v>
      </c>
      <c r="B521" s="8">
        <v>11010304</v>
      </c>
      <c r="C521" s="8" t="s">
        <v>91</v>
      </c>
      <c r="D521" s="12" t="e">
        <f>IF(#REF!&gt;=5,IFERROR(MAX(0,#REF!)/IFERROR(_xlfn.SINGLE(_xlfn.XLOOKUP(B521,MA_ARTICULOS!$A:$A,MA_ARTICULOS!$E:$E,1)),1),0),"")</f>
        <v>#REF!</v>
      </c>
      <c r="E521" s="15" t="s">
        <v>65</v>
      </c>
      <c r="F521" s="22" t="e">
        <f>IF(#REF!&gt;=5,IFERROR(D521*_xlfn.SINGLE(_xlfn.XLOOKUP(B521,MA_ARTICULOS!$A:$A,MA_ARTICULOS!$E:$E,0)),""),"")</f>
        <v>#REF!</v>
      </c>
    </row>
    <row r="522" spans="1:6" x14ac:dyDescent="0.3">
      <c r="A522" s="11" t="e">
        <f>IF(#REF!&gt;=5,#REF!,"")</f>
        <v>#REF!</v>
      </c>
      <c r="B522" s="8">
        <v>11010305</v>
      </c>
      <c r="C522" s="8" t="s">
        <v>92</v>
      </c>
      <c r="D522" s="12" t="e">
        <f>IF(#REF!&gt;=5,IFERROR(MAX(0,#REF!)/IFERROR(_xlfn.SINGLE(_xlfn.XLOOKUP(B522,MA_ARTICULOS!$A:$A,MA_ARTICULOS!$E:$E,1)),1),0),"")</f>
        <v>#REF!</v>
      </c>
      <c r="E522" s="15" t="s">
        <v>65</v>
      </c>
      <c r="F522" s="22" t="e">
        <f>IF(#REF!&gt;=5,IFERROR(D522*_xlfn.SINGLE(_xlfn.XLOOKUP(B522,MA_ARTICULOS!$A:$A,MA_ARTICULOS!$E:$E,0)),""),"")</f>
        <v>#REF!</v>
      </c>
    </row>
    <row r="523" spans="1:6" x14ac:dyDescent="0.3">
      <c r="A523" s="11" t="e">
        <f>IF(#REF!&gt;=5,#REF!,"")</f>
        <v>#REF!</v>
      </c>
      <c r="B523" s="8">
        <v>11010306</v>
      </c>
      <c r="C523" s="8" t="s">
        <v>93</v>
      </c>
      <c r="D523" s="12" t="e">
        <f>IF(#REF!&gt;=5,IFERROR(MAX(0,#REF!)/IFERROR(_xlfn.SINGLE(_xlfn.XLOOKUP(B523,MA_ARTICULOS!$A:$A,MA_ARTICULOS!$E:$E,1)),1),0),"")</f>
        <v>#REF!</v>
      </c>
      <c r="E523" s="15" t="s">
        <v>65</v>
      </c>
      <c r="F523" s="22" t="e">
        <f>IF(#REF!&gt;=5,IFERROR(D523*_xlfn.SINGLE(_xlfn.XLOOKUP(B523,MA_ARTICULOS!$A:$A,MA_ARTICULOS!$E:$E,0)),""),"")</f>
        <v>#REF!</v>
      </c>
    </row>
    <row r="524" spans="1:6" x14ac:dyDescent="0.3">
      <c r="A524" s="11" t="e">
        <f>IF(#REF!&gt;=5,#REF!,"")</f>
        <v>#REF!</v>
      </c>
      <c r="B524" s="8">
        <v>11010307</v>
      </c>
      <c r="C524" s="8" t="s">
        <v>94</v>
      </c>
      <c r="D524" s="12" t="e">
        <f>IF(#REF!&gt;=5,IFERROR(MAX(0,#REF!)/IFERROR(_xlfn.SINGLE(_xlfn.XLOOKUP(B524,MA_ARTICULOS!$A:$A,MA_ARTICULOS!$E:$E,1)),1),0),"")</f>
        <v>#REF!</v>
      </c>
      <c r="E524" s="15" t="s">
        <v>65</v>
      </c>
      <c r="F524" s="22" t="e">
        <f>IF(#REF!&gt;=5,IFERROR(D524*_xlfn.SINGLE(_xlfn.XLOOKUP(B524,MA_ARTICULOS!$A:$A,MA_ARTICULOS!$E:$E,0)),""),"")</f>
        <v>#REF!</v>
      </c>
    </row>
    <row r="525" spans="1:6" x14ac:dyDescent="0.3">
      <c r="A525" s="11" t="e">
        <f>IF(#REF!&gt;=5,#REF!,"")</f>
        <v>#REF!</v>
      </c>
      <c r="B525" s="8">
        <v>11010308</v>
      </c>
      <c r="C525" s="8" t="s">
        <v>95</v>
      </c>
      <c r="D525" s="12" t="e">
        <f>IF(#REF!&gt;=5,IFERROR(MAX(0,#REF!)/IFERROR(_xlfn.SINGLE(_xlfn.XLOOKUP(B525,MA_ARTICULOS!$A:$A,MA_ARTICULOS!$E:$E,1)),1),0),"")</f>
        <v>#REF!</v>
      </c>
      <c r="E525" s="15" t="s">
        <v>65</v>
      </c>
      <c r="F525" s="22" t="e">
        <f>IF(#REF!&gt;=5,IFERROR(D525*_xlfn.SINGLE(_xlfn.XLOOKUP(B525,MA_ARTICULOS!$A:$A,MA_ARTICULOS!$E:$E,0)),""),"")</f>
        <v>#REF!</v>
      </c>
    </row>
    <row r="526" spans="1:6" x14ac:dyDescent="0.3">
      <c r="A526" s="11" t="e">
        <f>IF(#REF!&gt;=5,#REF!,"")</f>
        <v>#REF!</v>
      </c>
      <c r="B526" s="8">
        <v>11010309</v>
      </c>
      <c r="C526" s="8" t="s">
        <v>96</v>
      </c>
      <c r="D526" s="12" t="e">
        <f>IF(#REF!&gt;=5,IFERROR(MAX(0,#REF!)/IFERROR(_xlfn.SINGLE(_xlfn.XLOOKUP(B526,MA_ARTICULOS!$A:$A,MA_ARTICULOS!$E:$E,1)),1),0),"")</f>
        <v>#REF!</v>
      </c>
      <c r="E526" s="15" t="s">
        <v>65</v>
      </c>
      <c r="F526" s="22" t="e">
        <f>IF(#REF!&gt;=5,IFERROR(D526*_xlfn.SINGLE(_xlfn.XLOOKUP(B526,MA_ARTICULOS!$A:$A,MA_ARTICULOS!$E:$E,0)),""),"")</f>
        <v>#REF!</v>
      </c>
    </row>
    <row r="527" spans="1:6" x14ac:dyDescent="0.3">
      <c r="A527" s="11" t="e">
        <f>IF(#REF!&gt;=5,#REF!,"")</f>
        <v>#REF!</v>
      </c>
      <c r="B527" s="8">
        <v>11020001</v>
      </c>
      <c r="C527" s="8" t="s">
        <v>97</v>
      </c>
      <c r="D527" s="12" t="e">
        <f>IF(#REF!&gt;=5,IFERROR(MAX(0,#REF!)/IFERROR(_xlfn.SINGLE(_xlfn.XLOOKUP(B527,MA_ARTICULOS!$A:$A,MA_ARTICULOS!$E:$E,1)),1),0),"")</f>
        <v>#REF!</v>
      </c>
      <c r="E527" s="15" t="s">
        <v>65</v>
      </c>
      <c r="F527" s="22" t="e">
        <f>IF(#REF!&gt;=5,IFERROR(D527*_xlfn.SINGLE(_xlfn.XLOOKUP(B527,MA_ARTICULOS!$A:$A,MA_ARTICULOS!$E:$E,0)),""),"")</f>
        <v>#REF!</v>
      </c>
    </row>
    <row r="528" spans="1:6" x14ac:dyDescent="0.3">
      <c r="A528" s="11" t="e">
        <f>IF(#REF!&gt;=5,#REF!,"")</f>
        <v>#REF!</v>
      </c>
      <c r="B528" s="8">
        <v>11020002</v>
      </c>
      <c r="C528" s="8" t="s">
        <v>98</v>
      </c>
      <c r="D528" s="12" t="e">
        <f>IF(#REF!&gt;=5,IFERROR(MAX(0,#REF!)/IFERROR(_xlfn.SINGLE(_xlfn.XLOOKUP(B528,MA_ARTICULOS!$A:$A,MA_ARTICULOS!$E:$E,1)),1),0),"")</f>
        <v>#REF!</v>
      </c>
      <c r="E528" s="15" t="s">
        <v>65</v>
      </c>
      <c r="F528" s="22" t="e">
        <f>IF(#REF!&gt;=5,IFERROR(D528*_xlfn.SINGLE(_xlfn.XLOOKUP(B528,MA_ARTICULOS!$A:$A,MA_ARTICULOS!$E:$E,0)),""),"")</f>
        <v>#REF!</v>
      </c>
    </row>
    <row r="529" spans="1:6" x14ac:dyDescent="0.3">
      <c r="A529" s="11" t="e">
        <f>IF(#REF!&gt;=5,#REF!,"")</f>
        <v>#REF!</v>
      </c>
      <c r="B529" s="8">
        <v>11020003</v>
      </c>
      <c r="C529" s="8" t="s">
        <v>99</v>
      </c>
      <c r="D529" s="12" t="e">
        <f>IF(#REF!&gt;=5,IFERROR(MAX(0,#REF!)/IFERROR(_xlfn.SINGLE(_xlfn.XLOOKUP(B529,MA_ARTICULOS!$A:$A,MA_ARTICULOS!$E:$E,1)),1),0),"")</f>
        <v>#REF!</v>
      </c>
      <c r="E529" s="15" t="s">
        <v>65</v>
      </c>
      <c r="F529" s="22" t="e">
        <f>IF(#REF!&gt;=5,IFERROR(D529*_xlfn.SINGLE(_xlfn.XLOOKUP(B529,MA_ARTICULOS!$A:$A,MA_ARTICULOS!$E:$E,0)),""),"")</f>
        <v>#REF!</v>
      </c>
    </row>
    <row r="530" spans="1:6" x14ac:dyDescent="0.3">
      <c r="A530" s="11" t="e">
        <f>IF(#REF!&gt;=5,#REF!,"")</f>
        <v>#REF!</v>
      </c>
      <c r="B530" s="8">
        <v>11020004</v>
      </c>
      <c r="C530" s="8" t="s">
        <v>100</v>
      </c>
      <c r="D530" s="12" t="e">
        <f>IF(#REF!&gt;=5,IFERROR(MAX(0,#REF!)/IFERROR(_xlfn.SINGLE(_xlfn.XLOOKUP(B530,MA_ARTICULOS!$A:$A,MA_ARTICULOS!$E:$E,1)),1),0),"")</f>
        <v>#REF!</v>
      </c>
      <c r="E530" s="15" t="s">
        <v>65</v>
      </c>
      <c r="F530" s="22" t="e">
        <f>IF(#REF!&gt;=5,IFERROR(D530*_xlfn.SINGLE(_xlfn.XLOOKUP(B530,MA_ARTICULOS!$A:$A,MA_ARTICULOS!$E:$E,0)),""),"")</f>
        <v>#REF!</v>
      </c>
    </row>
    <row r="531" spans="1:6" x14ac:dyDescent="0.3">
      <c r="A531" s="11" t="e">
        <f>IF(#REF!&gt;=5,#REF!,"")</f>
        <v>#REF!</v>
      </c>
      <c r="B531" s="8">
        <v>11020005</v>
      </c>
      <c r="C531" s="8" t="s">
        <v>101</v>
      </c>
      <c r="D531" s="12" t="e">
        <f>IF(#REF!&gt;=5,IFERROR(MAX(0,#REF!)/IFERROR(_xlfn.SINGLE(_xlfn.XLOOKUP(B531,MA_ARTICULOS!$A:$A,MA_ARTICULOS!$E:$E,1)),1),0),"")</f>
        <v>#REF!</v>
      </c>
      <c r="E531" s="15" t="s">
        <v>65</v>
      </c>
      <c r="F531" s="22" t="e">
        <f>IF(#REF!&gt;=5,IFERROR(D531*_xlfn.SINGLE(_xlfn.XLOOKUP(B531,MA_ARTICULOS!$A:$A,MA_ARTICULOS!$E:$E,0)),""),"")</f>
        <v>#REF!</v>
      </c>
    </row>
    <row r="532" spans="1:6" x14ac:dyDescent="0.3">
      <c r="A532" s="11" t="e">
        <f>IF(#REF!&gt;=5,#REF!,"")</f>
        <v>#REF!</v>
      </c>
      <c r="B532" s="8">
        <v>11020006</v>
      </c>
      <c r="C532" s="8" t="s">
        <v>102</v>
      </c>
      <c r="D532" s="12" t="e">
        <f>IF(#REF!&gt;=5,IFERROR(MAX(0,#REF!)/IFERROR(_xlfn.SINGLE(_xlfn.XLOOKUP(B532,MA_ARTICULOS!$A:$A,MA_ARTICULOS!$E:$E,1)),1),0),"")</f>
        <v>#REF!</v>
      </c>
      <c r="E532" s="15" t="s">
        <v>65</v>
      </c>
      <c r="F532" s="22" t="e">
        <f>IF(#REF!&gt;=5,IFERROR(D532*_xlfn.SINGLE(_xlfn.XLOOKUP(B532,MA_ARTICULOS!$A:$A,MA_ARTICULOS!$E:$E,0)),""),"")</f>
        <v>#REF!</v>
      </c>
    </row>
    <row r="533" spans="1:6" x14ac:dyDescent="0.3">
      <c r="A533" s="11" t="e">
        <f>IF(#REF!&gt;=5,#REF!,"")</f>
        <v>#REF!</v>
      </c>
      <c r="B533" s="8">
        <v>11020007</v>
      </c>
      <c r="C533" s="8" t="s">
        <v>103</v>
      </c>
      <c r="D533" s="12" t="e">
        <f>IF(#REF!&gt;=5,IFERROR(MAX(0,#REF!)/IFERROR(_xlfn.SINGLE(_xlfn.XLOOKUP(B533,MA_ARTICULOS!$A:$A,MA_ARTICULOS!$E:$E,1)),1),0),"")</f>
        <v>#REF!</v>
      </c>
      <c r="E533" s="15" t="s">
        <v>65</v>
      </c>
      <c r="F533" s="22" t="e">
        <f>IF(#REF!&gt;=5,IFERROR(D533*_xlfn.SINGLE(_xlfn.XLOOKUP(B533,MA_ARTICULOS!$A:$A,MA_ARTICULOS!$E:$E,0)),""),"")</f>
        <v>#REF!</v>
      </c>
    </row>
    <row r="534" spans="1:6" x14ac:dyDescent="0.3">
      <c r="A534" s="11" t="e">
        <f>IF(#REF!&gt;=5,#REF!,"")</f>
        <v>#REF!</v>
      </c>
      <c r="B534" s="8">
        <v>11020008</v>
      </c>
      <c r="C534" s="8" t="s">
        <v>104</v>
      </c>
      <c r="D534" s="12" t="e">
        <f>IF(#REF!&gt;=5,IFERROR(MAX(0,#REF!)/IFERROR(_xlfn.SINGLE(_xlfn.XLOOKUP(B534,MA_ARTICULOS!$A:$A,MA_ARTICULOS!$E:$E,1)),1),0),"")</f>
        <v>#REF!</v>
      </c>
      <c r="E534" s="15" t="s">
        <v>65</v>
      </c>
      <c r="F534" s="22" t="e">
        <f>IF(#REF!&gt;=5,IFERROR(D534*_xlfn.SINGLE(_xlfn.XLOOKUP(B534,MA_ARTICULOS!$A:$A,MA_ARTICULOS!$E:$E,0)),""),"")</f>
        <v>#REF!</v>
      </c>
    </row>
    <row r="535" spans="1:6" x14ac:dyDescent="0.3">
      <c r="A535" s="11" t="e">
        <f>IF(#REF!&gt;=5,#REF!,"")</f>
        <v>#REF!</v>
      </c>
      <c r="B535" s="8">
        <v>11020009</v>
      </c>
      <c r="C535" s="8" t="s">
        <v>105</v>
      </c>
      <c r="D535" s="12" t="e">
        <f>IF(#REF!&gt;=5,IFERROR(MAX(0,#REF!)/IFERROR(_xlfn.SINGLE(_xlfn.XLOOKUP(B535,MA_ARTICULOS!$A:$A,MA_ARTICULOS!$E:$E,1)),1),0),"")</f>
        <v>#REF!</v>
      </c>
      <c r="E535" s="15" t="s">
        <v>65</v>
      </c>
      <c r="F535" s="22" t="e">
        <f>IF(#REF!&gt;=5,IFERROR(D535*_xlfn.SINGLE(_xlfn.XLOOKUP(B535,MA_ARTICULOS!$A:$A,MA_ARTICULOS!$E:$E,0)),""),"")</f>
        <v>#REF!</v>
      </c>
    </row>
    <row r="536" spans="1:6" x14ac:dyDescent="0.3">
      <c r="A536" s="11" t="e">
        <f>IF(#REF!&gt;=5,#REF!,"")</f>
        <v>#REF!</v>
      </c>
      <c r="B536" s="8">
        <v>11020010</v>
      </c>
      <c r="C536" s="8" t="s">
        <v>106</v>
      </c>
      <c r="D536" s="12" t="e">
        <f>IF(#REF!&gt;=5,IFERROR(MAX(0,#REF!)/IFERROR(_xlfn.SINGLE(_xlfn.XLOOKUP(B536,MA_ARTICULOS!$A:$A,MA_ARTICULOS!$E:$E,1)),1),0),"")</f>
        <v>#REF!</v>
      </c>
      <c r="E536" s="15" t="s">
        <v>65</v>
      </c>
      <c r="F536" s="22" t="e">
        <f>IF(#REF!&gt;=5,IFERROR(D536*_xlfn.SINGLE(_xlfn.XLOOKUP(B536,MA_ARTICULOS!$A:$A,MA_ARTICULOS!$E:$E,0)),""),"")</f>
        <v>#REF!</v>
      </c>
    </row>
    <row r="537" spans="1:6" x14ac:dyDescent="0.3">
      <c r="A537" s="11" t="e">
        <f>IF(#REF!&gt;=5,#REF!,"")</f>
        <v>#REF!</v>
      </c>
      <c r="B537" s="8">
        <v>11020014</v>
      </c>
      <c r="C537" s="8" t="s">
        <v>107</v>
      </c>
      <c r="D537" s="12" t="e">
        <f>IF(#REF!&gt;=5,IFERROR(MAX(0,#REF!)/IFERROR(_xlfn.SINGLE(_xlfn.XLOOKUP(B537,MA_ARTICULOS!$A:$A,MA_ARTICULOS!$E:$E,1)),1),0),"")</f>
        <v>#REF!</v>
      </c>
      <c r="E537" s="15" t="s">
        <v>65</v>
      </c>
      <c r="F537" s="22" t="e">
        <f>IF(#REF!&gt;=5,IFERROR(D537*_xlfn.SINGLE(_xlfn.XLOOKUP(B537,MA_ARTICULOS!$A:$A,MA_ARTICULOS!$E:$E,0)),""),"")</f>
        <v>#REF!</v>
      </c>
    </row>
    <row r="538" spans="1:6" x14ac:dyDescent="0.3">
      <c r="A538" s="11" t="e">
        <f>IF(#REF!&gt;=5,#REF!,"")</f>
        <v>#REF!</v>
      </c>
      <c r="B538" s="8">
        <v>11020015</v>
      </c>
      <c r="C538" s="8" t="s">
        <v>108</v>
      </c>
      <c r="D538" s="12" t="e">
        <f>IF(#REF!&gt;=5,IFERROR(MAX(0,#REF!)/IFERROR(_xlfn.SINGLE(_xlfn.XLOOKUP(B538,MA_ARTICULOS!$A:$A,MA_ARTICULOS!$E:$E,1)),1),0),"")</f>
        <v>#REF!</v>
      </c>
      <c r="E538" s="15" t="s">
        <v>65</v>
      </c>
      <c r="F538" s="22" t="e">
        <f>IF(#REF!&gt;=5,IFERROR(D538*_xlfn.SINGLE(_xlfn.XLOOKUP(B538,MA_ARTICULOS!$A:$A,MA_ARTICULOS!$E:$E,0)),""),"")</f>
        <v>#REF!</v>
      </c>
    </row>
    <row r="539" spans="1:6" x14ac:dyDescent="0.3">
      <c r="A539" s="11" t="e">
        <f>IF(#REF!&gt;=5,#REF!,"")</f>
        <v>#REF!</v>
      </c>
      <c r="B539" s="8">
        <v>11020016</v>
      </c>
      <c r="C539" s="8" t="s">
        <v>109</v>
      </c>
      <c r="D539" s="12" t="e">
        <f>IF(#REF!&gt;=5,IFERROR(MAX(0,#REF!)/IFERROR(_xlfn.SINGLE(_xlfn.XLOOKUP(B539,MA_ARTICULOS!$A:$A,MA_ARTICULOS!$E:$E,1)),1),0),"")</f>
        <v>#REF!</v>
      </c>
      <c r="E539" s="15" t="s">
        <v>65</v>
      </c>
      <c r="F539" s="22" t="e">
        <f>IF(#REF!&gt;=5,IFERROR(D539*_xlfn.SINGLE(_xlfn.XLOOKUP(B539,MA_ARTICULOS!$A:$A,MA_ARTICULOS!$E:$E,0)),""),"")</f>
        <v>#REF!</v>
      </c>
    </row>
    <row r="540" spans="1:6" x14ac:dyDescent="0.3">
      <c r="A540" s="11" t="e">
        <f>IF(#REF!&gt;=5,#REF!,"")</f>
        <v>#REF!</v>
      </c>
      <c r="B540" s="8">
        <v>12040001</v>
      </c>
      <c r="C540" s="8" t="s">
        <v>110</v>
      </c>
      <c r="D540" s="12" t="e">
        <f>IF(#REF!&gt;=5,IFERROR(MAX(0,#REF!)/IFERROR(_xlfn.SINGLE(_xlfn.XLOOKUP(B540,MA_ARTICULOS!$A:$A,MA_ARTICULOS!$E:$E,1)),1),0),"")</f>
        <v>#REF!</v>
      </c>
      <c r="E540" s="15" t="s">
        <v>65</v>
      </c>
      <c r="F540" s="22" t="e">
        <f>IF(#REF!&gt;=5,IFERROR(D540*_xlfn.SINGLE(_xlfn.XLOOKUP(B540,MA_ARTICULOS!$A:$A,MA_ARTICULOS!$E:$E,0)),""),"")</f>
        <v>#REF!</v>
      </c>
    </row>
    <row r="541" spans="1:6" x14ac:dyDescent="0.3">
      <c r="A541" s="11" t="e">
        <f>IF(#REF!&gt;=5,#REF!,"")</f>
        <v>#REF!</v>
      </c>
      <c r="B541" s="8">
        <v>12040002</v>
      </c>
      <c r="C541" s="8" t="s">
        <v>111</v>
      </c>
      <c r="D541" s="12" t="e">
        <f>IF(#REF!&gt;=5,IFERROR(MAX(0,#REF!)/IFERROR(_xlfn.SINGLE(_xlfn.XLOOKUP(B541,MA_ARTICULOS!$A:$A,MA_ARTICULOS!$E:$E,1)),1),0),"")</f>
        <v>#REF!</v>
      </c>
      <c r="E541" s="15" t="s">
        <v>65</v>
      </c>
      <c r="F541" s="22" t="e">
        <f>IF(#REF!&gt;=5,IFERROR(D541*_xlfn.SINGLE(_xlfn.XLOOKUP(B541,MA_ARTICULOS!$A:$A,MA_ARTICULOS!$E:$E,0)),""),"")</f>
        <v>#REF!</v>
      </c>
    </row>
    <row r="542" spans="1:6" x14ac:dyDescent="0.3">
      <c r="A542" s="11" t="e">
        <f>IF(#REF!&gt;=5,#REF!,"")</f>
        <v>#REF!</v>
      </c>
      <c r="B542" s="8">
        <v>12080001</v>
      </c>
      <c r="C542" s="8" t="s">
        <v>112</v>
      </c>
      <c r="D542" s="12" t="e">
        <f>IF(#REF!&gt;=5,IFERROR(MAX(0,#REF!)/IFERROR(_xlfn.SINGLE(_xlfn.XLOOKUP(B542,MA_ARTICULOS!$A:$A,MA_ARTICULOS!$E:$E,1)),1),0),"")</f>
        <v>#REF!</v>
      </c>
      <c r="E542" s="15" t="s">
        <v>65</v>
      </c>
      <c r="F542" s="22" t="e">
        <f>IF(#REF!&gt;=5,IFERROR(D542*_xlfn.SINGLE(_xlfn.XLOOKUP(B542,MA_ARTICULOS!$A:$A,MA_ARTICULOS!$E:$E,0)),""),"")</f>
        <v>#REF!</v>
      </c>
    </row>
    <row r="543" spans="1:6" x14ac:dyDescent="0.3">
      <c r="A543" s="11" t="e">
        <f>IF(#REF!&gt;=5,#REF!,"")</f>
        <v>#REF!</v>
      </c>
      <c r="B543" s="8">
        <v>12080002</v>
      </c>
      <c r="C543" s="8" t="s">
        <v>113</v>
      </c>
      <c r="D543" s="12" t="e">
        <f>IF(#REF!&gt;=5,IFERROR(MAX(0,#REF!)/IFERROR(_xlfn.SINGLE(_xlfn.XLOOKUP(B543,MA_ARTICULOS!$A:$A,MA_ARTICULOS!$E:$E,1)),1),0),"")</f>
        <v>#REF!</v>
      </c>
      <c r="E543" s="15" t="s">
        <v>65</v>
      </c>
      <c r="F543" s="22" t="e">
        <f>IF(#REF!&gt;=5,IFERROR(D543*_xlfn.SINGLE(_xlfn.XLOOKUP(B543,MA_ARTICULOS!$A:$A,MA_ARTICULOS!$E:$E,0)),""),"")</f>
        <v>#REF!</v>
      </c>
    </row>
    <row r="544" spans="1:6" x14ac:dyDescent="0.3">
      <c r="A544" s="11" t="e">
        <f>IF(#REF!&gt;=5,#REF!,"")</f>
        <v>#REF!</v>
      </c>
      <c r="B544" s="8">
        <v>12080003</v>
      </c>
      <c r="C544" s="8" t="s">
        <v>114</v>
      </c>
      <c r="D544" s="12" t="e">
        <f>IF(#REF!&gt;=5,IFERROR(MAX(0,#REF!)/IFERROR(_xlfn.SINGLE(_xlfn.XLOOKUP(B544,MA_ARTICULOS!$A:$A,MA_ARTICULOS!$E:$E,1)),1),0),"")</f>
        <v>#REF!</v>
      </c>
      <c r="E544" s="15" t="s">
        <v>65</v>
      </c>
      <c r="F544" s="22" t="e">
        <f>IF(#REF!&gt;=5,IFERROR(D544*_xlfn.SINGLE(_xlfn.XLOOKUP(B544,MA_ARTICULOS!$A:$A,MA_ARTICULOS!$E:$E,0)),""),"")</f>
        <v>#REF!</v>
      </c>
    </row>
    <row r="545" spans="1:6" x14ac:dyDescent="0.3">
      <c r="A545" s="11" t="e">
        <f>IF(#REF!&gt;=5,#REF!,"")</f>
        <v>#REF!</v>
      </c>
      <c r="B545" s="8">
        <v>13010007</v>
      </c>
      <c r="C545" s="8" t="s">
        <v>115</v>
      </c>
      <c r="D545" s="12" t="e">
        <f>IF(#REF!&gt;=5,IFERROR(MAX(0,#REF!)/IFERROR(_xlfn.SINGLE(_xlfn.XLOOKUP(B545,MA_ARTICULOS!$A:$A,MA_ARTICULOS!$E:$E,1)),1),0),"")</f>
        <v>#REF!</v>
      </c>
      <c r="E545" s="15" t="s">
        <v>65</v>
      </c>
      <c r="F545" s="22" t="e">
        <f>IF(#REF!&gt;=5,IFERROR(D545*_xlfn.SINGLE(_xlfn.XLOOKUP(B545,MA_ARTICULOS!$A:$A,MA_ARTICULOS!$E:$E,0)),""),"")</f>
        <v>#REF!</v>
      </c>
    </row>
    <row r="546" spans="1:6" x14ac:dyDescent="0.3">
      <c r="A546" s="11" t="e">
        <f>IF(#REF!&gt;=5,#REF!,"")</f>
        <v>#REF!</v>
      </c>
      <c r="B546" s="8">
        <v>13010008</v>
      </c>
      <c r="C546" s="8" t="s">
        <v>116</v>
      </c>
      <c r="D546" s="12" t="e">
        <f>IF(#REF!&gt;=5,IFERROR(MAX(0,#REF!)/IFERROR(_xlfn.SINGLE(_xlfn.XLOOKUP(B546,MA_ARTICULOS!$A:$A,MA_ARTICULOS!$E:$E,1)),1),0),"")</f>
        <v>#REF!</v>
      </c>
      <c r="E546" s="15" t="s">
        <v>65</v>
      </c>
      <c r="F546" s="22" t="e">
        <f>IF(#REF!&gt;=5,IFERROR(D546*_xlfn.SINGLE(_xlfn.XLOOKUP(B546,MA_ARTICULOS!$A:$A,MA_ARTICULOS!$E:$E,0)),""),"")</f>
        <v>#REF!</v>
      </c>
    </row>
    <row r="547" spans="1:6" x14ac:dyDescent="0.3">
      <c r="A547" s="11" t="e">
        <f>IF(#REF!&gt;=5,#REF!,"")</f>
        <v>#REF!</v>
      </c>
      <c r="B547" s="8">
        <v>13019001</v>
      </c>
      <c r="C547" s="8" t="s">
        <v>117</v>
      </c>
      <c r="D547" s="12" t="e">
        <f>IF(#REF!&gt;=5,IFERROR(MAX(0,#REF!)/IFERROR(_xlfn.SINGLE(_xlfn.XLOOKUP(B547,MA_ARTICULOS!$A:$A,MA_ARTICULOS!$E:$E,1)),1),0),"")</f>
        <v>#REF!</v>
      </c>
      <c r="E547" s="15" t="s">
        <v>65</v>
      </c>
      <c r="F547" s="22" t="e">
        <f>IF(#REF!&gt;=5,IFERROR(D547*_xlfn.SINGLE(_xlfn.XLOOKUP(B547,MA_ARTICULOS!$A:$A,MA_ARTICULOS!$E:$E,0)),""),"")</f>
        <v>#REF!</v>
      </c>
    </row>
    <row r="548" spans="1:6" x14ac:dyDescent="0.3">
      <c r="A548" s="11" t="e">
        <f>IF(#REF!&gt;=5,#REF!,"")</f>
        <v>#REF!</v>
      </c>
      <c r="B548" s="8">
        <v>13019002</v>
      </c>
      <c r="C548" s="8" t="s">
        <v>118</v>
      </c>
      <c r="D548" s="12" t="e">
        <f>IF(#REF!&gt;=5,IFERROR(MAX(0,#REF!)/IFERROR(_xlfn.SINGLE(_xlfn.XLOOKUP(B548,MA_ARTICULOS!$A:$A,MA_ARTICULOS!$E:$E,1)),1),0),"")</f>
        <v>#REF!</v>
      </c>
      <c r="E548" s="15" t="s">
        <v>65</v>
      </c>
      <c r="F548" s="22" t="e">
        <f>IF(#REF!&gt;=5,IFERROR(D548*_xlfn.SINGLE(_xlfn.XLOOKUP(B548,MA_ARTICULOS!$A:$A,MA_ARTICULOS!$E:$E,0)),""),"")</f>
        <v>#REF!</v>
      </c>
    </row>
    <row r="549" spans="1:6" x14ac:dyDescent="0.3">
      <c r="A549" s="11" t="e">
        <f>IF(#REF!&gt;=5,#REF!,"")</f>
        <v>#REF!</v>
      </c>
      <c r="B549" s="8">
        <v>13019003</v>
      </c>
      <c r="C549" s="8" t="s">
        <v>119</v>
      </c>
      <c r="D549" s="12" t="e">
        <f>IF(#REF!&gt;=5,IFERROR(MAX(0,#REF!)/IFERROR(_xlfn.SINGLE(_xlfn.XLOOKUP(B549,MA_ARTICULOS!$A:$A,MA_ARTICULOS!$E:$E,1)),1),0),"")</f>
        <v>#REF!</v>
      </c>
      <c r="E549" s="15" t="s">
        <v>65</v>
      </c>
      <c r="F549" s="22" t="e">
        <f>IF(#REF!&gt;=5,IFERROR(D549*_xlfn.SINGLE(_xlfn.XLOOKUP(B549,MA_ARTICULOS!$A:$A,MA_ARTICULOS!$E:$E,0)),""),"")</f>
        <v>#REF!</v>
      </c>
    </row>
    <row r="550" spans="1:6" x14ac:dyDescent="0.3">
      <c r="A550" s="11" t="e">
        <f>IF(#REF!&gt;=5,#REF!,"")</f>
        <v>#REF!</v>
      </c>
      <c r="B550" s="8">
        <v>13019004</v>
      </c>
      <c r="C550" s="8" t="s">
        <v>120</v>
      </c>
      <c r="D550" s="12" t="e">
        <f>IF(#REF!&gt;=5,IFERROR(MAX(0,#REF!)/IFERROR(_xlfn.SINGLE(_xlfn.XLOOKUP(B550,MA_ARTICULOS!$A:$A,MA_ARTICULOS!$E:$E,1)),1),0),"")</f>
        <v>#REF!</v>
      </c>
      <c r="E550" s="15" t="s">
        <v>65</v>
      </c>
      <c r="F550" s="22" t="e">
        <f>IF(#REF!&gt;=5,IFERROR(D550*_xlfn.SINGLE(_xlfn.XLOOKUP(B550,MA_ARTICULOS!$A:$A,MA_ARTICULOS!$E:$E,0)),""),"")</f>
        <v>#REF!</v>
      </c>
    </row>
    <row r="551" spans="1:6" x14ac:dyDescent="0.3">
      <c r="A551" s="11" t="e">
        <f>IF(#REF!&gt;=5,#REF!,"")</f>
        <v>#REF!</v>
      </c>
      <c r="B551" s="8">
        <v>13019005</v>
      </c>
      <c r="C551" s="8" t="s">
        <v>121</v>
      </c>
      <c r="D551" s="12" t="e">
        <f>IF(#REF!&gt;=5,IFERROR(MAX(0,#REF!)/IFERROR(_xlfn.SINGLE(_xlfn.XLOOKUP(B551,MA_ARTICULOS!$A:$A,MA_ARTICULOS!$E:$E,1)),1),0),"")</f>
        <v>#REF!</v>
      </c>
      <c r="E551" s="15" t="s">
        <v>65</v>
      </c>
      <c r="F551" s="22" t="e">
        <f>IF(#REF!&gt;=5,IFERROR(D551*_xlfn.SINGLE(_xlfn.XLOOKUP(B551,MA_ARTICULOS!$A:$A,MA_ARTICULOS!$E:$E,0)),""),"")</f>
        <v>#REF!</v>
      </c>
    </row>
    <row r="552" spans="1:6" x14ac:dyDescent="0.3">
      <c r="A552" s="11" t="e">
        <f>IF(#REF!&gt;=5,#REF!,"")</f>
        <v>#REF!</v>
      </c>
      <c r="B552" s="8">
        <v>13019007</v>
      </c>
      <c r="C552" s="8" t="s">
        <v>122</v>
      </c>
      <c r="D552" s="12" t="e">
        <f>IF(#REF!&gt;=5,IFERROR(MAX(0,#REF!)/IFERROR(_xlfn.SINGLE(_xlfn.XLOOKUP(B552,MA_ARTICULOS!$A:$A,MA_ARTICULOS!$E:$E,1)),1),0),"")</f>
        <v>#REF!</v>
      </c>
      <c r="E552" s="15" t="s">
        <v>65</v>
      </c>
      <c r="F552" s="22" t="e">
        <f>IF(#REF!&gt;=5,IFERROR(D552*_xlfn.SINGLE(_xlfn.XLOOKUP(B552,MA_ARTICULOS!$A:$A,MA_ARTICULOS!$E:$E,0)),""),"")</f>
        <v>#REF!</v>
      </c>
    </row>
    <row r="553" spans="1:6" x14ac:dyDescent="0.3">
      <c r="A553" s="11" t="e">
        <f>IF(#REF!&gt;=5,#REF!,"")</f>
        <v>#REF!</v>
      </c>
      <c r="B553" s="8">
        <v>13019008</v>
      </c>
      <c r="C553" s="8" t="s">
        <v>123</v>
      </c>
      <c r="D553" s="12" t="e">
        <f>IF(#REF!&gt;=5,IFERROR(MAX(0,#REF!)/IFERROR(_xlfn.SINGLE(_xlfn.XLOOKUP(B553,MA_ARTICULOS!$A:$A,MA_ARTICULOS!$E:$E,1)),1),0),"")</f>
        <v>#REF!</v>
      </c>
      <c r="E553" s="15" t="s">
        <v>65</v>
      </c>
      <c r="F553" s="22" t="e">
        <f>IF(#REF!&gt;=5,IFERROR(D553*_xlfn.SINGLE(_xlfn.XLOOKUP(B553,MA_ARTICULOS!$A:$A,MA_ARTICULOS!$E:$E,0)),""),"")</f>
        <v>#REF!</v>
      </c>
    </row>
    <row r="554" spans="1:6" x14ac:dyDescent="0.3">
      <c r="A554" s="11" t="e">
        <f>IF(#REF!&gt;=5,#REF!,"")</f>
        <v>#REF!</v>
      </c>
      <c r="B554" s="8">
        <v>13020004</v>
      </c>
      <c r="C554" s="8" t="s">
        <v>124</v>
      </c>
      <c r="D554" s="12" t="e">
        <f>IF(#REF!&gt;=5,IFERROR(MAX(0,#REF!)/IFERROR(_xlfn.SINGLE(_xlfn.XLOOKUP(B554,MA_ARTICULOS!$A:$A,MA_ARTICULOS!$E:$E,1)),1),0),"")</f>
        <v>#REF!</v>
      </c>
      <c r="E554" s="15" t="s">
        <v>65</v>
      </c>
      <c r="F554" s="22" t="e">
        <f>IF(#REF!&gt;=5,IFERROR(D554*_xlfn.SINGLE(_xlfn.XLOOKUP(B554,MA_ARTICULOS!$A:$A,MA_ARTICULOS!$E:$E,0)),""),"")</f>
        <v>#REF!</v>
      </c>
    </row>
    <row r="555" spans="1:6" x14ac:dyDescent="0.3">
      <c r="A555" s="11" t="e">
        <f>IF(#REF!&gt;=5,#REF!,"")</f>
        <v>#REF!</v>
      </c>
      <c r="B555" s="8">
        <v>13020005</v>
      </c>
      <c r="C555" s="8" t="s">
        <v>125</v>
      </c>
      <c r="D555" s="12" t="e">
        <f>IF(#REF!&gt;=5,IFERROR(MAX(0,#REF!)/IFERROR(_xlfn.SINGLE(_xlfn.XLOOKUP(B555,MA_ARTICULOS!$A:$A,MA_ARTICULOS!$E:$E,1)),1),0),"")</f>
        <v>#REF!</v>
      </c>
      <c r="E555" s="15" t="s">
        <v>65</v>
      </c>
      <c r="F555" s="22" t="e">
        <f>IF(#REF!&gt;=5,IFERROR(D555*_xlfn.SINGLE(_xlfn.XLOOKUP(B555,MA_ARTICULOS!$A:$A,MA_ARTICULOS!$E:$E,0)),""),"")</f>
        <v>#REF!</v>
      </c>
    </row>
    <row r="556" spans="1:6" x14ac:dyDescent="0.3">
      <c r="A556" s="11" t="e">
        <f>IF(#REF!&gt;=5,#REF!,"")</f>
        <v>#REF!</v>
      </c>
      <c r="B556" s="8">
        <v>13040001</v>
      </c>
      <c r="C556" s="8" t="s">
        <v>126</v>
      </c>
      <c r="D556" s="12" t="e">
        <f>IF(#REF!&gt;=5,IFERROR(MAX(0,#REF!)/IFERROR(_xlfn.SINGLE(_xlfn.XLOOKUP(B556,MA_ARTICULOS!$A:$A,MA_ARTICULOS!$E:$E,1)),1),0),"")</f>
        <v>#REF!</v>
      </c>
      <c r="E556" s="15" t="s">
        <v>65</v>
      </c>
      <c r="F556" s="22" t="e">
        <f>IF(#REF!&gt;=5,IFERROR(D556*_xlfn.SINGLE(_xlfn.XLOOKUP(B556,MA_ARTICULOS!$A:$A,MA_ARTICULOS!$E:$E,0)),""),"")</f>
        <v>#REF!</v>
      </c>
    </row>
    <row r="557" spans="1:6" x14ac:dyDescent="0.3">
      <c r="A557" s="11" t="e">
        <f>IF(#REF!&gt;=5,#REF!,"")</f>
        <v>#REF!</v>
      </c>
      <c r="B557" s="8">
        <v>13040002</v>
      </c>
      <c r="C557" s="8" t="s">
        <v>127</v>
      </c>
      <c r="D557" s="12" t="e">
        <f>IF(#REF!&gt;=5,IFERROR(MAX(0,#REF!)/IFERROR(_xlfn.SINGLE(_xlfn.XLOOKUP(B557,MA_ARTICULOS!$A:$A,MA_ARTICULOS!$E:$E,1)),1),0),"")</f>
        <v>#REF!</v>
      </c>
      <c r="E557" s="15" t="s">
        <v>65</v>
      </c>
      <c r="F557" s="22" t="e">
        <f>IF(#REF!&gt;=5,IFERROR(D557*_xlfn.SINGLE(_xlfn.XLOOKUP(B557,MA_ARTICULOS!$A:$A,MA_ARTICULOS!$E:$E,0)),""),"")</f>
        <v>#REF!</v>
      </c>
    </row>
    <row r="558" spans="1:6" x14ac:dyDescent="0.3">
      <c r="A558" s="11" t="e">
        <f>IF(#REF!&gt;=5,#REF!,"")</f>
        <v>#REF!</v>
      </c>
      <c r="B558" s="8">
        <v>13040003</v>
      </c>
      <c r="C558" s="8" t="s">
        <v>128</v>
      </c>
      <c r="D558" s="12" t="e">
        <f>IF(#REF!&gt;=5,IFERROR(MAX(0,#REF!)/IFERROR(_xlfn.SINGLE(_xlfn.XLOOKUP(B558,MA_ARTICULOS!$A:$A,MA_ARTICULOS!$E:$E,1)),1),0),"")</f>
        <v>#REF!</v>
      </c>
      <c r="E558" s="15" t="s">
        <v>65</v>
      </c>
      <c r="F558" s="22" t="e">
        <f>IF(#REF!&gt;=5,IFERROR(D558*_xlfn.SINGLE(_xlfn.XLOOKUP(B558,MA_ARTICULOS!$A:$A,MA_ARTICULOS!$E:$E,0)),""),"")</f>
        <v>#REF!</v>
      </c>
    </row>
    <row r="559" spans="1:6" x14ac:dyDescent="0.3">
      <c r="A559" s="11" t="e">
        <f>IF(#REF!&gt;=5,#REF!,"")</f>
        <v>#REF!</v>
      </c>
      <c r="B559" s="8">
        <v>13040004</v>
      </c>
      <c r="C559" s="8" t="s">
        <v>129</v>
      </c>
      <c r="D559" s="12" t="e">
        <f>IF(#REF!&gt;=5,IFERROR(MAX(0,#REF!)/IFERROR(_xlfn.SINGLE(_xlfn.XLOOKUP(B559,MA_ARTICULOS!$A:$A,MA_ARTICULOS!$E:$E,1)),1),0),"")</f>
        <v>#REF!</v>
      </c>
      <c r="E559" s="15" t="s">
        <v>65</v>
      </c>
      <c r="F559" s="22" t="e">
        <f>IF(#REF!&gt;=5,IFERROR(D559*_xlfn.SINGLE(_xlfn.XLOOKUP(B559,MA_ARTICULOS!$A:$A,MA_ARTICULOS!$E:$E,0)),""),"")</f>
        <v>#REF!</v>
      </c>
    </row>
    <row r="560" spans="1:6" x14ac:dyDescent="0.3">
      <c r="A560" s="11" t="e">
        <f>IF(#REF!&gt;=5,#REF!,"")</f>
        <v>#REF!</v>
      </c>
      <c r="B560" s="8">
        <v>13040005</v>
      </c>
      <c r="C560" s="8" t="s">
        <v>130</v>
      </c>
      <c r="D560" s="12" t="e">
        <f>IF(#REF!&gt;=5,IFERROR(MAX(0,#REF!)/IFERROR(_xlfn.SINGLE(_xlfn.XLOOKUP(B560,MA_ARTICULOS!$A:$A,MA_ARTICULOS!$E:$E,1)),1),0),"")</f>
        <v>#REF!</v>
      </c>
      <c r="E560" s="15" t="s">
        <v>65</v>
      </c>
      <c r="F560" s="22" t="e">
        <f>IF(#REF!&gt;=5,IFERROR(D560*_xlfn.SINGLE(_xlfn.XLOOKUP(B560,MA_ARTICULOS!$A:$A,MA_ARTICULOS!$E:$E,0)),""),"")</f>
        <v>#REF!</v>
      </c>
    </row>
    <row r="561" spans="1:6" x14ac:dyDescent="0.3">
      <c r="A561" s="11" t="e">
        <f>IF(#REF!&gt;=5,#REF!,"")</f>
        <v>#REF!</v>
      </c>
      <c r="B561" s="8">
        <v>13040006</v>
      </c>
      <c r="C561" s="8" t="s">
        <v>131</v>
      </c>
      <c r="D561" s="12" t="e">
        <f>IF(#REF!&gt;=5,IFERROR(MAX(0,#REF!)/IFERROR(_xlfn.SINGLE(_xlfn.XLOOKUP(B561,MA_ARTICULOS!$A:$A,MA_ARTICULOS!$E:$E,1)),1),0),"")</f>
        <v>#REF!</v>
      </c>
      <c r="E561" s="15" t="s">
        <v>65</v>
      </c>
      <c r="F561" s="22" t="e">
        <f>IF(#REF!&gt;=5,IFERROR(D561*_xlfn.SINGLE(_xlfn.XLOOKUP(B561,MA_ARTICULOS!$A:$A,MA_ARTICULOS!$E:$E,0)),""),"")</f>
        <v>#REF!</v>
      </c>
    </row>
    <row r="562" spans="1:6" x14ac:dyDescent="0.3">
      <c r="A562" s="11" t="e">
        <f>IF(#REF!&gt;=5,#REF!,"")</f>
        <v>#REF!</v>
      </c>
      <c r="B562" s="8">
        <v>13040007</v>
      </c>
      <c r="C562" s="8" t="s">
        <v>132</v>
      </c>
      <c r="D562" s="12" t="e">
        <f>IF(#REF!&gt;=5,IFERROR(MAX(0,#REF!)/IFERROR(_xlfn.SINGLE(_xlfn.XLOOKUP(B562,MA_ARTICULOS!$A:$A,MA_ARTICULOS!$E:$E,1)),1),0),"")</f>
        <v>#REF!</v>
      </c>
      <c r="E562" s="15" t="s">
        <v>65</v>
      </c>
      <c r="F562" s="22" t="e">
        <f>IF(#REF!&gt;=5,IFERROR(D562*_xlfn.SINGLE(_xlfn.XLOOKUP(B562,MA_ARTICULOS!$A:$A,MA_ARTICULOS!$E:$E,0)),""),"")</f>
        <v>#REF!</v>
      </c>
    </row>
    <row r="563" spans="1:6" x14ac:dyDescent="0.3">
      <c r="A563" s="11" t="e">
        <f>IF(#REF!&gt;=5,#REF!,"")</f>
        <v>#REF!</v>
      </c>
      <c r="B563" s="8">
        <v>13040008</v>
      </c>
      <c r="C563" s="8" t="s">
        <v>133</v>
      </c>
      <c r="D563" s="12" t="e">
        <f>IF(#REF!&gt;=5,IFERROR(MAX(0,#REF!)/IFERROR(_xlfn.SINGLE(_xlfn.XLOOKUP(B563,MA_ARTICULOS!$A:$A,MA_ARTICULOS!$E:$E,1)),1),0),"")</f>
        <v>#REF!</v>
      </c>
      <c r="E563" s="15" t="s">
        <v>65</v>
      </c>
      <c r="F563" s="22" t="e">
        <f>IF(#REF!&gt;=5,IFERROR(D563*_xlfn.SINGLE(_xlfn.XLOOKUP(B563,MA_ARTICULOS!$A:$A,MA_ARTICULOS!$E:$E,0)),""),"")</f>
        <v>#REF!</v>
      </c>
    </row>
    <row r="564" spans="1:6" x14ac:dyDescent="0.3">
      <c r="A564" s="11" t="e">
        <f>IF(#REF!&gt;=5,#REF!,"")</f>
        <v>#REF!</v>
      </c>
      <c r="B564" s="8">
        <v>13040009</v>
      </c>
      <c r="C564" s="8" t="s">
        <v>134</v>
      </c>
      <c r="D564" s="12" t="e">
        <f>IF(#REF!&gt;=5,IFERROR(MAX(0,#REF!)/IFERROR(_xlfn.SINGLE(_xlfn.XLOOKUP(B564,MA_ARTICULOS!$A:$A,MA_ARTICULOS!$E:$E,1)),1),0),"")</f>
        <v>#REF!</v>
      </c>
      <c r="E564" s="15" t="s">
        <v>65</v>
      </c>
      <c r="F564" s="22" t="e">
        <f>IF(#REF!&gt;=5,IFERROR(D564*_xlfn.SINGLE(_xlfn.XLOOKUP(B564,MA_ARTICULOS!$A:$A,MA_ARTICULOS!$E:$E,0)),""),"")</f>
        <v>#REF!</v>
      </c>
    </row>
    <row r="565" spans="1:6" x14ac:dyDescent="0.3">
      <c r="A565" s="11" t="e">
        <f>IF(#REF!&gt;=5,#REF!,"")</f>
        <v>#REF!</v>
      </c>
      <c r="B565" s="8">
        <v>13040010</v>
      </c>
      <c r="C565" s="8" t="s">
        <v>135</v>
      </c>
      <c r="D565" s="12" t="e">
        <f>IF(#REF!&gt;=5,IFERROR(MAX(0,#REF!)/IFERROR(_xlfn.SINGLE(_xlfn.XLOOKUP(B565,MA_ARTICULOS!$A:$A,MA_ARTICULOS!$E:$E,1)),1),0),"")</f>
        <v>#REF!</v>
      </c>
      <c r="E565" s="15" t="s">
        <v>65</v>
      </c>
      <c r="F565" s="22" t="e">
        <f>IF(#REF!&gt;=5,IFERROR(D565*_xlfn.SINGLE(_xlfn.XLOOKUP(B565,MA_ARTICULOS!$A:$A,MA_ARTICULOS!$E:$E,0)),""),"")</f>
        <v>#REF!</v>
      </c>
    </row>
    <row r="566" spans="1:6" x14ac:dyDescent="0.3">
      <c r="A566" s="11" t="e">
        <f>IF(#REF!&gt;=5,#REF!,"")</f>
        <v>#REF!</v>
      </c>
      <c r="B566" s="8">
        <v>13040011</v>
      </c>
      <c r="C566" s="8" t="s">
        <v>136</v>
      </c>
      <c r="D566" s="12" t="e">
        <f>IF(#REF!&gt;=5,IFERROR(MAX(0,#REF!)/IFERROR(_xlfn.SINGLE(_xlfn.XLOOKUP(B566,MA_ARTICULOS!$A:$A,MA_ARTICULOS!$E:$E,1)),1),0),"")</f>
        <v>#REF!</v>
      </c>
      <c r="E566" s="15" t="s">
        <v>65</v>
      </c>
      <c r="F566" s="22" t="e">
        <f>IF(#REF!&gt;=5,IFERROR(D566*_xlfn.SINGLE(_xlfn.XLOOKUP(B566,MA_ARTICULOS!$A:$A,MA_ARTICULOS!$E:$E,0)),""),"")</f>
        <v>#REF!</v>
      </c>
    </row>
    <row r="567" spans="1:6" x14ac:dyDescent="0.3">
      <c r="A567" s="11" t="e">
        <f>IF(#REF!&gt;=5,#REF!,"")</f>
        <v>#REF!</v>
      </c>
      <c r="B567" s="8">
        <v>13040012</v>
      </c>
      <c r="C567" s="8" t="s">
        <v>137</v>
      </c>
      <c r="D567" s="12" t="e">
        <f>IF(#REF!&gt;=5,IFERROR(MAX(0,#REF!)/IFERROR(_xlfn.SINGLE(_xlfn.XLOOKUP(B567,MA_ARTICULOS!$A:$A,MA_ARTICULOS!$E:$E,1)),1),0),"")</f>
        <v>#REF!</v>
      </c>
      <c r="E567" s="15" t="s">
        <v>65</v>
      </c>
      <c r="F567" s="22" t="e">
        <f>IF(#REF!&gt;=5,IFERROR(D567*_xlfn.SINGLE(_xlfn.XLOOKUP(B567,MA_ARTICULOS!$A:$A,MA_ARTICULOS!$E:$E,0)),""),"")</f>
        <v>#REF!</v>
      </c>
    </row>
    <row r="568" spans="1:6" x14ac:dyDescent="0.3">
      <c r="A568" s="11" t="e">
        <f>IF(#REF!&gt;=5,#REF!,"")</f>
        <v>#REF!</v>
      </c>
      <c r="B568" s="8">
        <v>13040013</v>
      </c>
      <c r="C568" s="8" t="s">
        <v>138</v>
      </c>
      <c r="D568" s="12" t="e">
        <f>IF(#REF!&gt;=5,IFERROR(MAX(0,#REF!)/IFERROR(_xlfn.SINGLE(_xlfn.XLOOKUP(B568,MA_ARTICULOS!$A:$A,MA_ARTICULOS!$E:$E,1)),1),0),"")</f>
        <v>#REF!</v>
      </c>
      <c r="E568" s="15" t="s">
        <v>65</v>
      </c>
      <c r="F568" s="22" t="e">
        <f>IF(#REF!&gt;=5,IFERROR(D568*_xlfn.SINGLE(_xlfn.XLOOKUP(B568,MA_ARTICULOS!$A:$A,MA_ARTICULOS!$E:$E,0)),""),"")</f>
        <v>#REF!</v>
      </c>
    </row>
    <row r="569" spans="1:6" x14ac:dyDescent="0.3">
      <c r="A569" s="11" t="e">
        <f>IF(#REF!&gt;=5,#REF!,"")</f>
        <v>#REF!</v>
      </c>
      <c r="B569" s="8">
        <v>13040014</v>
      </c>
      <c r="C569" s="8" t="s">
        <v>139</v>
      </c>
      <c r="D569" s="12" t="e">
        <f>IF(#REF!&gt;=5,IFERROR(MAX(0,#REF!)/IFERROR(_xlfn.SINGLE(_xlfn.XLOOKUP(B569,MA_ARTICULOS!$A:$A,MA_ARTICULOS!$E:$E,1)),1),0),"")</f>
        <v>#REF!</v>
      </c>
      <c r="E569" s="15" t="s">
        <v>65</v>
      </c>
      <c r="F569" s="22" t="e">
        <f>IF(#REF!&gt;=5,IFERROR(D569*_xlfn.SINGLE(_xlfn.XLOOKUP(B569,MA_ARTICULOS!$A:$A,MA_ARTICULOS!$E:$E,0)),""),"")</f>
        <v>#REF!</v>
      </c>
    </row>
    <row r="570" spans="1:6" x14ac:dyDescent="0.3">
      <c r="A570" s="11" t="e">
        <f>IF(#REF!&gt;=5,#REF!,"")</f>
        <v>#REF!</v>
      </c>
      <c r="B570" s="8">
        <v>13040015</v>
      </c>
      <c r="C570" s="8" t="s">
        <v>140</v>
      </c>
      <c r="D570" s="12" t="e">
        <f>IF(#REF!&gt;=5,IFERROR(MAX(0,#REF!)/IFERROR(_xlfn.SINGLE(_xlfn.XLOOKUP(B570,MA_ARTICULOS!$A:$A,MA_ARTICULOS!$E:$E,1)),1),0),"")</f>
        <v>#REF!</v>
      </c>
      <c r="E570" s="15" t="s">
        <v>65</v>
      </c>
      <c r="F570" s="22" t="e">
        <f>IF(#REF!&gt;=5,IFERROR(D570*_xlfn.SINGLE(_xlfn.XLOOKUP(B570,MA_ARTICULOS!$A:$A,MA_ARTICULOS!$E:$E,0)),""),"")</f>
        <v>#REF!</v>
      </c>
    </row>
    <row r="571" spans="1:6" x14ac:dyDescent="0.3">
      <c r="A571" s="11" t="e">
        <f>IF(#REF!&gt;=5,#REF!,"")</f>
        <v>#REF!</v>
      </c>
      <c r="B571" s="8">
        <v>13040016</v>
      </c>
      <c r="C571" s="8" t="s">
        <v>141</v>
      </c>
      <c r="D571" s="12" t="e">
        <f>IF(#REF!&gt;=5,IFERROR(MAX(0,#REF!)/IFERROR(_xlfn.SINGLE(_xlfn.XLOOKUP(B571,MA_ARTICULOS!$A:$A,MA_ARTICULOS!$E:$E,1)),1),0),"")</f>
        <v>#REF!</v>
      </c>
      <c r="E571" s="15" t="s">
        <v>65</v>
      </c>
      <c r="F571" s="22" t="e">
        <f>IF(#REF!&gt;=5,IFERROR(D571*_xlfn.SINGLE(_xlfn.XLOOKUP(B571,MA_ARTICULOS!$A:$A,MA_ARTICULOS!$E:$E,0)),""),"")</f>
        <v>#REF!</v>
      </c>
    </row>
    <row r="572" spans="1:6" x14ac:dyDescent="0.3">
      <c r="A572" s="11" t="e">
        <f>IF(#REF!&gt;=5,#REF!,"")</f>
        <v>#REF!</v>
      </c>
      <c r="B572" s="8">
        <v>13040017</v>
      </c>
      <c r="C572" s="8" t="s">
        <v>142</v>
      </c>
      <c r="D572" s="12" t="e">
        <f>IF(#REF!&gt;=5,IFERROR(MAX(0,#REF!)/IFERROR(_xlfn.SINGLE(_xlfn.XLOOKUP(B572,MA_ARTICULOS!$A:$A,MA_ARTICULOS!$E:$E,1)),1),0),"")</f>
        <v>#REF!</v>
      </c>
      <c r="E572" s="15" t="s">
        <v>65</v>
      </c>
      <c r="F572" s="22" t="e">
        <f>IF(#REF!&gt;=5,IFERROR(D572*_xlfn.SINGLE(_xlfn.XLOOKUP(B572,MA_ARTICULOS!$A:$A,MA_ARTICULOS!$E:$E,0)),""),"")</f>
        <v>#REF!</v>
      </c>
    </row>
    <row r="573" spans="1:6" x14ac:dyDescent="0.3">
      <c r="A573" s="11" t="e">
        <f>IF(#REF!&gt;=5,#REF!,"")</f>
        <v>#REF!</v>
      </c>
      <c r="B573" s="8">
        <v>13040018</v>
      </c>
      <c r="C573" s="8" t="s">
        <v>143</v>
      </c>
      <c r="D573" s="12" t="e">
        <f>IF(#REF!&gt;=5,IFERROR(MAX(0,#REF!)/IFERROR(_xlfn.SINGLE(_xlfn.XLOOKUP(B573,MA_ARTICULOS!$A:$A,MA_ARTICULOS!$E:$E,1)),1),0),"")</f>
        <v>#REF!</v>
      </c>
      <c r="E573" s="15" t="s">
        <v>65</v>
      </c>
      <c r="F573" s="22" t="e">
        <f>IF(#REF!&gt;=5,IFERROR(D573*_xlfn.SINGLE(_xlfn.XLOOKUP(B573,MA_ARTICULOS!$A:$A,MA_ARTICULOS!$E:$E,0)),""),"")</f>
        <v>#REF!</v>
      </c>
    </row>
    <row r="574" spans="1:6" x14ac:dyDescent="0.3">
      <c r="A574" s="11" t="e">
        <f>IF(#REF!&gt;=5,#REF!,"")</f>
        <v>#REF!</v>
      </c>
      <c r="B574" s="8">
        <v>13040101</v>
      </c>
      <c r="C574" s="8" t="s">
        <v>144</v>
      </c>
      <c r="D574" s="12" t="e">
        <f>IF(#REF!&gt;=5,IFERROR(MAX(0,#REF!)/IFERROR(_xlfn.SINGLE(_xlfn.XLOOKUP(B574,MA_ARTICULOS!$A:$A,MA_ARTICULOS!$E:$E,1)),1),0),"")</f>
        <v>#REF!</v>
      </c>
      <c r="E574" s="15" t="s">
        <v>65</v>
      </c>
      <c r="F574" s="22" t="e">
        <f>IF(#REF!&gt;=5,IFERROR(D574*_xlfn.SINGLE(_xlfn.XLOOKUP(B574,MA_ARTICULOS!$A:$A,MA_ARTICULOS!$E:$E,0)),""),"")</f>
        <v>#REF!</v>
      </c>
    </row>
    <row r="575" spans="1:6" x14ac:dyDescent="0.3">
      <c r="A575" s="11" t="e">
        <f>IF(#REF!&gt;=5,#REF!,"")</f>
        <v>#REF!</v>
      </c>
      <c r="B575" s="8">
        <v>13040102</v>
      </c>
      <c r="C575" s="8" t="s">
        <v>145</v>
      </c>
      <c r="D575" s="12" t="e">
        <f>IF(#REF!&gt;=5,IFERROR(MAX(0,#REF!)/IFERROR(_xlfn.SINGLE(_xlfn.XLOOKUP(B575,MA_ARTICULOS!$A:$A,MA_ARTICULOS!$E:$E,1)),1),0),"")</f>
        <v>#REF!</v>
      </c>
      <c r="E575" s="15" t="s">
        <v>65</v>
      </c>
      <c r="F575" s="22" t="e">
        <f>IF(#REF!&gt;=5,IFERROR(D575*_xlfn.SINGLE(_xlfn.XLOOKUP(B575,MA_ARTICULOS!$A:$A,MA_ARTICULOS!$E:$E,0)),""),"")</f>
        <v>#REF!</v>
      </c>
    </row>
    <row r="576" spans="1:6" x14ac:dyDescent="0.3">
      <c r="A576" s="11" t="e">
        <f>IF(#REF!&gt;=5,#REF!,"")</f>
        <v>#REF!</v>
      </c>
      <c r="B576" s="8">
        <v>13040103</v>
      </c>
      <c r="C576" s="8" t="s">
        <v>146</v>
      </c>
      <c r="D576" s="12" t="e">
        <f>IF(#REF!&gt;=5,IFERROR(MAX(0,#REF!)/IFERROR(_xlfn.SINGLE(_xlfn.XLOOKUP(B576,MA_ARTICULOS!$A:$A,MA_ARTICULOS!$E:$E,1)),1),0),"")</f>
        <v>#REF!</v>
      </c>
      <c r="E576" s="15" t="s">
        <v>65</v>
      </c>
      <c r="F576" s="22" t="e">
        <f>IF(#REF!&gt;=5,IFERROR(D576*_xlfn.SINGLE(_xlfn.XLOOKUP(B576,MA_ARTICULOS!$A:$A,MA_ARTICULOS!$E:$E,0)),""),"")</f>
        <v>#REF!</v>
      </c>
    </row>
    <row r="577" spans="1:6" x14ac:dyDescent="0.3">
      <c r="A577" s="11" t="e">
        <f>IF(#REF!&gt;=5,#REF!,"")</f>
        <v>#REF!</v>
      </c>
      <c r="B577" s="8">
        <v>13050001</v>
      </c>
      <c r="C577" s="8" t="s">
        <v>147</v>
      </c>
      <c r="D577" s="12" t="e">
        <f>IF(#REF!&gt;=5,IFERROR(MAX(0,#REF!)/IFERROR(_xlfn.SINGLE(_xlfn.XLOOKUP(B577,MA_ARTICULOS!$A:$A,MA_ARTICULOS!$E:$E,1)),1),0),"")</f>
        <v>#REF!</v>
      </c>
      <c r="E577" s="15" t="s">
        <v>65</v>
      </c>
      <c r="F577" s="22" t="e">
        <f>IF(#REF!&gt;=5,IFERROR(D577*_xlfn.SINGLE(_xlfn.XLOOKUP(B577,MA_ARTICULOS!$A:$A,MA_ARTICULOS!$E:$E,0)),""),"")</f>
        <v>#REF!</v>
      </c>
    </row>
    <row r="578" spans="1:6" x14ac:dyDescent="0.3">
      <c r="A578" s="11" t="e">
        <f>IF(#REF!&gt;=5,#REF!,"")</f>
        <v>#REF!</v>
      </c>
      <c r="B578" s="8">
        <v>13050002</v>
      </c>
      <c r="C578" s="8" t="s">
        <v>148</v>
      </c>
      <c r="D578" s="12" t="e">
        <f>IF(#REF!&gt;=5,IFERROR(MAX(0,#REF!)/IFERROR(_xlfn.SINGLE(_xlfn.XLOOKUP(B578,MA_ARTICULOS!$A:$A,MA_ARTICULOS!$E:$E,1)),1),0),"")</f>
        <v>#REF!</v>
      </c>
      <c r="E578" s="15" t="s">
        <v>65</v>
      </c>
      <c r="F578" s="22" t="e">
        <f>IF(#REF!&gt;=5,IFERROR(D578*_xlfn.SINGLE(_xlfn.XLOOKUP(B578,MA_ARTICULOS!$A:$A,MA_ARTICULOS!$E:$E,0)),""),"")</f>
        <v>#REF!</v>
      </c>
    </row>
    <row r="579" spans="1:6" x14ac:dyDescent="0.3">
      <c r="A579" s="11" t="e">
        <f>IF(#REF!&gt;=5,#REF!,"")</f>
        <v>#REF!</v>
      </c>
      <c r="B579" s="8">
        <v>13050003</v>
      </c>
      <c r="C579" s="8" t="s">
        <v>149</v>
      </c>
      <c r="D579" s="12" t="e">
        <f>IF(#REF!&gt;=5,IFERROR(MAX(0,#REF!)/IFERROR(_xlfn.SINGLE(_xlfn.XLOOKUP(B579,MA_ARTICULOS!$A:$A,MA_ARTICULOS!$E:$E,1)),1),0),"")</f>
        <v>#REF!</v>
      </c>
      <c r="E579" s="15" t="s">
        <v>65</v>
      </c>
      <c r="F579" s="22" t="e">
        <f>IF(#REF!&gt;=5,IFERROR(D579*_xlfn.SINGLE(_xlfn.XLOOKUP(B579,MA_ARTICULOS!$A:$A,MA_ARTICULOS!$E:$E,0)),""),"")</f>
        <v>#REF!</v>
      </c>
    </row>
    <row r="580" spans="1:6" x14ac:dyDescent="0.3">
      <c r="A580" s="11" t="e">
        <f>IF(#REF!&gt;=5,#REF!,"")</f>
        <v>#REF!</v>
      </c>
      <c r="B580" s="8">
        <v>13050004</v>
      </c>
      <c r="C580" s="8" t="s">
        <v>150</v>
      </c>
      <c r="D580" s="12" t="e">
        <f>IF(#REF!&gt;=5,IFERROR(MAX(0,#REF!)/IFERROR(_xlfn.SINGLE(_xlfn.XLOOKUP(B580,MA_ARTICULOS!$A:$A,MA_ARTICULOS!$E:$E,1)),1),0),"")</f>
        <v>#REF!</v>
      </c>
      <c r="E580" s="15" t="s">
        <v>65</v>
      </c>
      <c r="F580" s="22" t="e">
        <f>IF(#REF!&gt;=5,IFERROR(D580*_xlfn.SINGLE(_xlfn.XLOOKUP(B580,MA_ARTICULOS!$A:$A,MA_ARTICULOS!$E:$E,0)),""),"")</f>
        <v>#REF!</v>
      </c>
    </row>
    <row r="581" spans="1:6" x14ac:dyDescent="0.3">
      <c r="A581" s="11" t="e">
        <f>IF(#REF!&gt;=5,#REF!,"")</f>
        <v>#REF!</v>
      </c>
      <c r="B581" s="8">
        <v>13050005</v>
      </c>
      <c r="C581" s="8" t="s">
        <v>151</v>
      </c>
      <c r="D581" s="12" t="e">
        <f>IF(#REF!&gt;=5,IFERROR(MAX(0,#REF!)/IFERROR(_xlfn.SINGLE(_xlfn.XLOOKUP(B581,MA_ARTICULOS!$A:$A,MA_ARTICULOS!$E:$E,1)),1),0),"")</f>
        <v>#REF!</v>
      </c>
      <c r="E581" s="15" t="s">
        <v>65</v>
      </c>
      <c r="F581" s="22" t="e">
        <f>IF(#REF!&gt;=5,IFERROR(D581*_xlfn.SINGLE(_xlfn.XLOOKUP(B581,MA_ARTICULOS!$A:$A,MA_ARTICULOS!$E:$E,0)),""),"")</f>
        <v>#REF!</v>
      </c>
    </row>
    <row r="582" spans="1:6" x14ac:dyDescent="0.3">
      <c r="A582" s="11" t="e">
        <f>IF(#REF!&gt;=5,#REF!,"")</f>
        <v>#REF!</v>
      </c>
      <c r="B582" s="8">
        <v>13050006</v>
      </c>
      <c r="C582" s="8" t="s">
        <v>152</v>
      </c>
      <c r="D582" s="12" t="e">
        <f>IF(#REF!&gt;=5,IFERROR(MAX(0,#REF!)/IFERROR(_xlfn.SINGLE(_xlfn.XLOOKUP(B582,MA_ARTICULOS!$A:$A,MA_ARTICULOS!$E:$E,1)),1),0),"")</f>
        <v>#REF!</v>
      </c>
      <c r="E582" s="15" t="s">
        <v>65</v>
      </c>
      <c r="F582" s="22" t="e">
        <f>IF(#REF!&gt;=5,IFERROR(D582*_xlfn.SINGLE(_xlfn.XLOOKUP(B582,MA_ARTICULOS!$A:$A,MA_ARTICULOS!$E:$E,0)),""),"")</f>
        <v>#REF!</v>
      </c>
    </row>
    <row r="583" spans="1:6" x14ac:dyDescent="0.3">
      <c r="A583" s="11" t="e">
        <f>IF(#REF!&gt;=5,#REF!,"")</f>
        <v>#REF!</v>
      </c>
      <c r="B583" s="8">
        <v>13050007</v>
      </c>
      <c r="C583" s="8" t="s">
        <v>153</v>
      </c>
      <c r="D583" s="12" t="e">
        <f>IF(#REF!&gt;=5,IFERROR(MAX(0,#REF!)/IFERROR(_xlfn.SINGLE(_xlfn.XLOOKUP(B583,MA_ARTICULOS!$A:$A,MA_ARTICULOS!$E:$E,1)),1),0),"")</f>
        <v>#REF!</v>
      </c>
      <c r="E583" s="15" t="s">
        <v>65</v>
      </c>
      <c r="F583" s="22" t="e">
        <f>IF(#REF!&gt;=5,IFERROR(D583*_xlfn.SINGLE(_xlfn.XLOOKUP(B583,MA_ARTICULOS!$A:$A,MA_ARTICULOS!$E:$E,0)),""),"")</f>
        <v>#REF!</v>
      </c>
    </row>
    <row r="584" spans="1:6" x14ac:dyDescent="0.3">
      <c r="A584" s="11" t="e">
        <f>IF(#REF!&gt;=5,#REF!,"")</f>
        <v>#REF!</v>
      </c>
      <c r="B584" s="8">
        <v>13050008</v>
      </c>
      <c r="C584" s="8" t="s">
        <v>154</v>
      </c>
      <c r="D584" s="12" t="e">
        <f>IF(#REF!&gt;=5,IFERROR(MAX(0,#REF!)/IFERROR(_xlfn.SINGLE(_xlfn.XLOOKUP(B584,MA_ARTICULOS!$A:$A,MA_ARTICULOS!$E:$E,1)),1),0),"")</f>
        <v>#REF!</v>
      </c>
      <c r="E584" s="15" t="s">
        <v>65</v>
      </c>
      <c r="F584" s="22" t="e">
        <f>IF(#REF!&gt;=5,IFERROR(D584*_xlfn.SINGLE(_xlfn.XLOOKUP(B584,MA_ARTICULOS!$A:$A,MA_ARTICULOS!$E:$E,0)),""),"")</f>
        <v>#REF!</v>
      </c>
    </row>
    <row r="585" spans="1:6" x14ac:dyDescent="0.3">
      <c r="A585" s="11" t="e">
        <f>IF(#REF!&gt;=5,#REF!,"")</f>
        <v>#REF!</v>
      </c>
      <c r="B585" s="8">
        <v>13089001</v>
      </c>
      <c r="C585" s="8" t="s">
        <v>155</v>
      </c>
      <c r="D585" s="12" t="e">
        <f>IF(#REF!&gt;=5,IFERROR(MAX(0,#REF!)/IFERROR(_xlfn.SINGLE(_xlfn.XLOOKUP(B585,MA_ARTICULOS!$A:$A,MA_ARTICULOS!$E:$E,1)),1),0),"")</f>
        <v>#REF!</v>
      </c>
      <c r="E585" s="15" t="s">
        <v>65</v>
      </c>
      <c r="F585" s="22" t="e">
        <f>IF(#REF!&gt;=5,IFERROR(D585*_xlfn.SINGLE(_xlfn.XLOOKUP(B585,MA_ARTICULOS!$A:$A,MA_ARTICULOS!$E:$E,0)),""),"")</f>
        <v>#REF!</v>
      </c>
    </row>
    <row r="586" spans="1:6" x14ac:dyDescent="0.3">
      <c r="A586" s="11" t="e">
        <f>IF(#REF!&gt;=5,#REF!,"")</f>
        <v>#REF!</v>
      </c>
      <c r="B586" s="8">
        <v>13089002</v>
      </c>
      <c r="C586" s="8" t="s">
        <v>156</v>
      </c>
      <c r="D586" s="12" t="e">
        <f>IF(#REF!&gt;=5,IFERROR(MAX(0,#REF!)/IFERROR(_xlfn.SINGLE(_xlfn.XLOOKUP(B586,MA_ARTICULOS!$A:$A,MA_ARTICULOS!$E:$E,1)),1),0),"")</f>
        <v>#REF!</v>
      </c>
      <c r="E586" s="15" t="s">
        <v>65</v>
      </c>
      <c r="F586" s="22" t="e">
        <f>IF(#REF!&gt;=5,IFERROR(D586*_xlfn.SINGLE(_xlfn.XLOOKUP(B586,MA_ARTICULOS!$A:$A,MA_ARTICULOS!$E:$E,0)),""),"")</f>
        <v>#REF!</v>
      </c>
    </row>
    <row r="587" spans="1:6" x14ac:dyDescent="0.3">
      <c r="A587" s="11" t="e">
        <f>IF(#REF!&gt;=5,#REF!,"")</f>
        <v>#REF!</v>
      </c>
      <c r="B587" s="8">
        <v>13089003</v>
      </c>
      <c r="C587" s="8" t="s">
        <v>157</v>
      </c>
      <c r="D587" s="12" t="e">
        <f>IF(#REF!&gt;=5,IFERROR(MAX(0,#REF!)/IFERROR(_xlfn.SINGLE(_xlfn.XLOOKUP(B587,MA_ARTICULOS!$A:$A,MA_ARTICULOS!$E:$E,1)),1),0),"")</f>
        <v>#REF!</v>
      </c>
      <c r="E587" s="15" t="s">
        <v>65</v>
      </c>
      <c r="F587" s="22" t="e">
        <f>IF(#REF!&gt;=5,IFERROR(D587*_xlfn.SINGLE(_xlfn.XLOOKUP(B587,MA_ARTICULOS!$A:$A,MA_ARTICULOS!$E:$E,0)),""),"")</f>
        <v>#REF!</v>
      </c>
    </row>
    <row r="588" spans="1:6" x14ac:dyDescent="0.3">
      <c r="A588" s="11" t="e">
        <f>IF(#REF!&gt;=5,#REF!,"")</f>
        <v>#REF!</v>
      </c>
      <c r="B588" s="8">
        <v>13089004</v>
      </c>
      <c r="C588" s="8" t="s">
        <v>158</v>
      </c>
      <c r="D588" s="12" t="e">
        <f>IF(#REF!&gt;=5,IFERROR(MAX(0,#REF!)/IFERROR(_xlfn.SINGLE(_xlfn.XLOOKUP(B588,MA_ARTICULOS!$A:$A,MA_ARTICULOS!$E:$E,1)),1),0),"")</f>
        <v>#REF!</v>
      </c>
      <c r="E588" s="15" t="s">
        <v>65</v>
      </c>
      <c r="F588" s="22" t="e">
        <f>IF(#REF!&gt;=5,IFERROR(D588*_xlfn.SINGLE(_xlfn.XLOOKUP(B588,MA_ARTICULOS!$A:$A,MA_ARTICULOS!$E:$E,0)),""),"")</f>
        <v>#REF!</v>
      </c>
    </row>
    <row r="589" spans="1:6" x14ac:dyDescent="0.3">
      <c r="A589" s="11" t="e">
        <f>IF(#REF!&gt;=5,#REF!,"")</f>
        <v>#REF!</v>
      </c>
      <c r="B589" s="8">
        <v>13089005</v>
      </c>
      <c r="C589" s="8" t="s">
        <v>159</v>
      </c>
      <c r="D589" s="12" t="e">
        <f>IF(#REF!&gt;=5,IFERROR(MAX(0,#REF!)/IFERROR(_xlfn.SINGLE(_xlfn.XLOOKUP(B589,MA_ARTICULOS!$A:$A,MA_ARTICULOS!$E:$E,1)),1),0),"")</f>
        <v>#REF!</v>
      </c>
      <c r="E589" s="15" t="s">
        <v>65</v>
      </c>
      <c r="F589" s="22" t="e">
        <f>IF(#REF!&gt;=5,IFERROR(D589*_xlfn.SINGLE(_xlfn.XLOOKUP(B589,MA_ARTICULOS!$A:$A,MA_ARTICULOS!$E:$E,0)),""),"")</f>
        <v>#REF!</v>
      </c>
    </row>
    <row r="590" spans="1:6" x14ac:dyDescent="0.3">
      <c r="A590" s="11" t="e">
        <f>IF(#REF!&gt;=5,#REF!,"")</f>
        <v>#REF!</v>
      </c>
      <c r="B590" s="8">
        <v>13089006</v>
      </c>
      <c r="C590" s="8" t="s">
        <v>160</v>
      </c>
      <c r="D590" s="12" t="e">
        <f>IF(#REF!&gt;=5,IFERROR(MAX(0,#REF!)/IFERROR(_xlfn.SINGLE(_xlfn.XLOOKUP(B590,MA_ARTICULOS!$A:$A,MA_ARTICULOS!$E:$E,1)),1),0),"")</f>
        <v>#REF!</v>
      </c>
      <c r="E590" s="15" t="s">
        <v>65</v>
      </c>
      <c r="F590" s="22" t="e">
        <f>IF(#REF!&gt;=5,IFERROR(D590*_xlfn.SINGLE(_xlfn.XLOOKUP(B590,MA_ARTICULOS!$A:$A,MA_ARTICULOS!$E:$E,0)),""),"")</f>
        <v>#REF!</v>
      </c>
    </row>
    <row r="591" spans="1:6" x14ac:dyDescent="0.3">
      <c r="A591" s="11" t="e">
        <f>IF(#REF!&gt;=5,#REF!,"")</f>
        <v>#REF!</v>
      </c>
      <c r="B591" s="8">
        <v>13089007</v>
      </c>
      <c r="C591" s="8" t="s">
        <v>161</v>
      </c>
      <c r="D591" s="12" t="e">
        <f>IF(#REF!&gt;=5,IFERROR(MAX(0,#REF!)/IFERROR(_xlfn.SINGLE(_xlfn.XLOOKUP(B591,MA_ARTICULOS!$A:$A,MA_ARTICULOS!$E:$E,1)),1),0),"")</f>
        <v>#REF!</v>
      </c>
      <c r="E591" s="15" t="s">
        <v>65</v>
      </c>
      <c r="F591" s="22" t="e">
        <f>IF(#REF!&gt;=5,IFERROR(D591*_xlfn.SINGLE(_xlfn.XLOOKUP(B591,MA_ARTICULOS!$A:$A,MA_ARTICULOS!$E:$E,0)),""),"")</f>
        <v>#REF!</v>
      </c>
    </row>
    <row r="592" spans="1:6" x14ac:dyDescent="0.3">
      <c r="A592" s="11" t="e">
        <f>IF(#REF!&gt;=5,#REF!,"")</f>
        <v>#REF!</v>
      </c>
      <c r="B592" s="8">
        <v>13090001</v>
      </c>
      <c r="C592" s="8" t="s">
        <v>162</v>
      </c>
      <c r="D592" s="12" t="e">
        <f>IF(#REF!&gt;=5,IFERROR(MAX(0,#REF!)/IFERROR(_xlfn.SINGLE(_xlfn.XLOOKUP(B592,MA_ARTICULOS!$A:$A,MA_ARTICULOS!$E:$E,1)),1),0),"")</f>
        <v>#REF!</v>
      </c>
      <c r="E592" s="15" t="s">
        <v>65</v>
      </c>
      <c r="F592" s="22" t="e">
        <f>IF(#REF!&gt;=5,IFERROR(D592*_xlfn.SINGLE(_xlfn.XLOOKUP(B592,MA_ARTICULOS!$A:$A,MA_ARTICULOS!$E:$E,0)),""),"")</f>
        <v>#REF!</v>
      </c>
    </row>
    <row r="593" spans="1:6" x14ac:dyDescent="0.3">
      <c r="A593" s="11" t="e">
        <f>IF(#REF!&gt;=5,#REF!,"")</f>
        <v>#REF!</v>
      </c>
      <c r="B593" s="8">
        <v>13090002</v>
      </c>
      <c r="C593" s="8" t="s">
        <v>163</v>
      </c>
      <c r="D593" s="12" t="e">
        <f>IF(#REF!&gt;=5,IFERROR(MAX(0,#REF!)/IFERROR(_xlfn.SINGLE(_xlfn.XLOOKUP(B593,MA_ARTICULOS!$A:$A,MA_ARTICULOS!$E:$E,1)),1),0),"")</f>
        <v>#REF!</v>
      </c>
      <c r="E593" s="15" t="s">
        <v>65</v>
      </c>
      <c r="F593" s="22" t="e">
        <f>IF(#REF!&gt;=5,IFERROR(D593*_xlfn.SINGLE(_xlfn.XLOOKUP(B593,MA_ARTICULOS!$A:$A,MA_ARTICULOS!$E:$E,0)),""),"")</f>
        <v>#REF!</v>
      </c>
    </row>
    <row r="594" spans="1:6" x14ac:dyDescent="0.3">
      <c r="A594" s="11" t="e">
        <f>IF(#REF!&gt;=5,#REF!,"")</f>
        <v>#REF!</v>
      </c>
      <c r="B594" s="8">
        <v>13099001</v>
      </c>
      <c r="C594" s="8" t="s">
        <v>164</v>
      </c>
      <c r="D594" s="12" t="e">
        <f>IF(#REF!&gt;=5,IFERROR(MAX(0,#REF!)/IFERROR(_xlfn.SINGLE(_xlfn.XLOOKUP(B594,MA_ARTICULOS!$A:$A,MA_ARTICULOS!$E:$E,1)),1),0),"")</f>
        <v>#REF!</v>
      </c>
      <c r="E594" s="15" t="s">
        <v>65</v>
      </c>
      <c r="F594" s="22" t="e">
        <f>IF(#REF!&gt;=5,IFERROR(D594*_xlfn.SINGLE(_xlfn.XLOOKUP(B594,MA_ARTICULOS!$A:$A,MA_ARTICULOS!$E:$E,0)),""),"")</f>
        <v>#REF!</v>
      </c>
    </row>
    <row r="595" spans="1:6" x14ac:dyDescent="0.3">
      <c r="A595" s="11" t="e">
        <f>IF(#REF!&gt;=5,#REF!,"")</f>
        <v>#REF!</v>
      </c>
      <c r="B595" s="8">
        <v>13099002</v>
      </c>
      <c r="C595" s="8" t="s">
        <v>165</v>
      </c>
      <c r="D595" s="12" t="e">
        <f>IF(#REF!&gt;=5,IFERROR(MAX(0,#REF!)/IFERROR(_xlfn.SINGLE(_xlfn.XLOOKUP(B595,MA_ARTICULOS!$A:$A,MA_ARTICULOS!$E:$E,1)),1),0),"")</f>
        <v>#REF!</v>
      </c>
      <c r="E595" s="15" t="s">
        <v>65</v>
      </c>
      <c r="F595" s="22" t="e">
        <f>IF(#REF!&gt;=5,IFERROR(D595*_xlfn.SINGLE(_xlfn.XLOOKUP(B595,MA_ARTICULOS!$A:$A,MA_ARTICULOS!$E:$E,0)),""),"")</f>
        <v>#REF!</v>
      </c>
    </row>
    <row r="596" spans="1:6" x14ac:dyDescent="0.3">
      <c r="A596" s="11" t="e">
        <f>IF(#REF!&gt;=5,#REF!,"")</f>
        <v>#REF!</v>
      </c>
      <c r="B596" s="8">
        <v>13110001</v>
      </c>
      <c r="C596" s="8" t="s">
        <v>166</v>
      </c>
      <c r="D596" s="12" t="e">
        <f>IF(#REF!&gt;=5,IFERROR(MAX(0,#REF!)/IFERROR(_xlfn.SINGLE(_xlfn.XLOOKUP(B596,MA_ARTICULOS!$A:$A,MA_ARTICULOS!$E:$E,1)),1),0),"")</f>
        <v>#REF!</v>
      </c>
      <c r="E596" s="15" t="s">
        <v>65</v>
      </c>
      <c r="F596" s="22" t="e">
        <f>IF(#REF!&gt;=5,IFERROR(D596*_xlfn.SINGLE(_xlfn.XLOOKUP(B596,MA_ARTICULOS!$A:$A,MA_ARTICULOS!$E:$E,0)),""),"")</f>
        <v>#REF!</v>
      </c>
    </row>
    <row r="597" spans="1:6" x14ac:dyDescent="0.3">
      <c r="A597" s="11" t="e">
        <f>IF(#REF!&gt;=5,#REF!,"")</f>
        <v>#REF!</v>
      </c>
      <c r="B597" s="8">
        <v>13110002</v>
      </c>
      <c r="C597" s="8" t="s">
        <v>167</v>
      </c>
      <c r="D597" s="12" t="e">
        <f>IF(#REF!&gt;=5,IFERROR(MAX(0,#REF!)/IFERROR(_xlfn.SINGLE(_xlfn.XLOOKUP(B597,MA_ARTICULOS!$A:$A,MA_ARTICULOS!$E:$E,1)),1),0),"")</f>
        <v>#REF!</v>
      </c>
      <c r="E597" s="15" t="s">
        <v>65</v>
      </c>
      <c r="F597" s="22" t="e">
        <f>IF(#REF!&gt;=5,IFERROR(D597*_xlfn.SINGLE(_xlfn.XLOOKUP(B597,MA_ARTICULOS!$A:$A,MA_ARTICULOS!$E:$E,0)),""),"")</f>
        <v>#REF!</v>
      </c>
    </row>
    <row r="598" spans="1:6" x14ac:dyDescent="0.3">
      <c r="A598" s="11" t="e">
        <f>IF(#REF!&gt;=5,#REF!,"")</f>
        <v>#REF!</v>
      </c>
      <c r="B598" s="8">
        <v>13110003</v>
      </c>
      <c r="C598" s="8" t="s">
        <v>168</v>
      </c>
      <c r="D598" s="12" t="e">
        <f>IF(#REF!&gt;=5,IFERROR(MAX(0,#REF!)/IFERROR(_xlfn.SINGLE(_xlfn.XLOOKUP(B598,MA_ARTICULOS!$A:$A,MA_ARTICULOS!$E:$E,1)),1),0),"")</f>
        <v>#REF!</v>
      </c>
      <c r="E598" s="15" t="s">
        <v>65</v>
      </c>
      <c r="F598" s="22" t="e">
        <f>IF(#REF!&gt;=5,IFERROR(D598*_xlfn.SINGLE(_xlfn.XLOOKUP(B598,MA_ARTICULOS!$A:$A,MA_ARTICULOS!$E:$E,0)),""),"")</f>
        <v>#REF!</v>
      </c>
    </row>
    <row r="599" spans="1:6" x14ac:dyDescent="0.3">
      <c r="A599" s="11" t="e">
        <f>IF(#REF!&gt;=5,#REF!,"")</f>
        <v>#REF!</v>
      </c>
      <c r="B599" s="8">
        <v>13110004</v>
      </c>
      <c r="C599" s="8" t="s">
        <v>169</v>
      </c>
      <c r="D599" s="12" t="e">
        <f>IF(#REF!&gt;=5,IFERROR(MAX(0,#REF!)/IFERROR(_xlfn.SINGLE(_xlfn.XLOOKUP(B599,MA_ARTICULOS!$A:$A,MA_ARTICULOS!$E:$E,1)),1),0),"")</f>
        <v>#REF!</v>
      </c>
      <c r="E599" s="15" t="s">
        <v>65</v>
      </c>
      <c r="F599" s="22" t="e">
        <f>IF(#REF!&gt;=5,IFERROR(D599*_xlfn.SINGLE(_xlfn.XLOOKUP(B599,MA_ARTICULOS!$A:$A,MA_ARTICULOS!$E:$E,0)),""),"")</f>
        <v>#REF!</v>
      </c>
    </row>
    <row r="600" spans="1:6" x14ac:dyDescent="0.3">
      <c r="A600" s="11" t="e">
        <f>IF(#REF!&gt;=5,#REF!,"")</f>
        <v>#REF!</v>
      </c>
      <c r="B600" s="8">
        <v>13130001</v>
      </c>
      <c r="C600" s="8" t="s">
        <v>170</v>
      </c>
      <c r="D600" s="12" t="e">
        <f>IF(#REF!&gt;=5,IFERROR(MAX(0,#REF!)/IFERROR(_xlfn.SINGLE(_xlfn.XLOOKUP(B600,MA_ARTICULOS!$A:$A,MA_ARTICULOS!$E:$E,1)),1),0),"")</f>
        <v>#REF!</v>
      </c>
      <c r="E600" s="15" t="s">
        <v>65</v>
      </c>
      <c r="F600" s="22" t="e">
        <f>IF(#REF!&gt;=5,IFERROR(D600*_xlfn.SINGLE(_xlfn.XLOOKUP(B600,MA_ARTICULOS!$A:$A,MA_ARTICULOS!$E:$E,0)),""),"")</f>
        <v>#REF!</v>
      </c>
    </row>
    <row r="601" spans="1:6" x14ac:dyDescent="0.3">
      <c r="A601" s="11" t="e">
        <f>IF(#REF!&gt;=5,#REF!,"")</f>
        <v>#REF!</v>
      </c>
      <c r="B601" s="8">
        <v>13130002</v>
      </c>
      <c r="C601" s="8" t="s">
        <v>171</v>
      </c>
      <c r="D601" s="12" t="e">
        <f>IF(#REF!&gt;=5,IFERROR(MAX(0,#REF!)/IFERROR(_xlfn.SINGLE(_xlfn.XLOOKUP(B601,MA_ARTICULOS!$A:$A,MA_ARTICULOS!$E:$E,1)),1),0),"")</f>
        <v>#REF!</v>
      </c>
      <c r="E601" s="15" t="s">
        <v>65</v>
      </c>
      <c r="F601" s="22" t="e">
        <f>IF(#REF!&gt;=5,IFERROR(D601*_xlfn.SINGLE(_xlfn.XLOOKUP(B601,MA_ARTICULOS!$A:$A,MA_ARTICULOS!$E:$E,0)),""),"")</f>
        <v>#REF!</v>
      </c>
    </row>
    <row r="602" spans="1:6" x14ac:dyDescent="0.3">
      <c r="A602" s="11" t="e">
        <f>IF(#REF!&gt;=5,#REF!,"")</f>
        <v>#REF!</v>
      </c>
      <c r="B602" s="8">
        <v>13130003</v>
      </c>
      <c r="C602" s="8" t="s">
        <v>172</v>
      </c>
      <c r="D602" s="12" t="e">
        <f>IF(#REF!&gt;=5,IFERROR(MAX(0,#REF!)/IFERROR(_xlfn.SINGLE(_xlfn.XLOOKUP(B602,MA_ARTICULOS!$A:$A,MA_ARTICULOS!$E:$E,1)),1),0),"")</f>
        <v>#REF!</v>
      </c>
      <c r="E602" s="15" t="s">
        <v>65</v>
      </c>
      <c r="F602" s="22" t="e">
        <f>IF(#REF!&gt;=5,IFERROR(D602*_xlfn.SINGLE(_xlfn.XLOOKUP(B602,MA_ARTICULOS!$A:$A,MA_ARTICULOS!$E:$E,0)),""),"")</f>
        <v>#REF!</v>
      </c>
    </row>
    <row r="603" spans="1:6" x14ac:dyDescent="0.3">
      <c r="A603" s="11" t="e">
        <f>IF(#REF!&gt;=5,#REF!,"")</f>
        <v>#REF!</v>
      </c>
      <c r="B603" s="8">
        <v>23080001</v>
      </c>
      <c r="C603" s="8" t="s">
        <v>173</v>
      </c>
      <c r="D603" s="12" t="e">
        <f>IF(#REF!&gt;=5,IFERROR(MAX(0,#REF!)/IFERROR(_xlfn.SINGLE(_xlfn.XLOOKUP(B603,MA_ARTICULOS!$A:$A,MA_ARTICULOS!$E:$E,1)),1),0),"")</f>
        <v>#REF!</v>
      </c>
      <c r="E603" s="15" t="s">
        <v>65</v>
      </c>
      <c r="F603" s="22" t="e">
        <f>IF(#REF!&gt;=5,IFERROR(D603*_xlfn.SINGLE(_xlfn.XLOOKUP(B603,MA_ARTICULOS!$A:$A,MA_ARTICULOS!$E:$E,0)),""),"")</f>
        <v>#REF!</v>
      </c>
    </row>
    <row r="604" spans="1:6" x14ac:dyDescent="0.3">
      <c r="A604" s="11" t="e">
        <f>IF(#REF!&gt;=5,#REF!,"")</f>
        <v>#REF!</v>
      </c>
      <c r="B604" s="8">
        <v>23080002</v>
      </c>
      <c r="C604" s="8" t="s">
        <v>174</v>
      </c>
      <c r="D604" s="12" t="e">
        <f>IF(#REF!&gt;=5,IFERROR(MAX(0,#REF!)/IFERROR(_xlfn.SINGLE(_xlfn.XLOOKUP(B604,MA_ARTICULOS!$A:$A,MA_ARTICULOS!$E:$E,1)),1),0),"")</f>
        <v>#REF!</v>
      </c>
      <c r="E604" s="15" t="s">
        <v>65</v>
      </c>
      <c r="F604" s="22" t="e">
        <f>IF(#REF!&gt;=5,IFERROR(D604*_xlfn.SINGLE(_xlfn.XLOOKUP(B604,MA_ARTICULOS!$A:$A,MA_ARTICULOS!$E:$E,0)),""),"")</f>
        <v>#REF!</v>
      </c>
    </row>
    <row r="605" spans="1:6" x14ac:dyDescent="0.3">
      <c r="A605" s="11" t="e">
        <f>IF(#REF!&gt;=5,#REF!,"")</f>
        <v>#REF!</v>
      </c>
      <c r="B605" s="8">
        <v>23080003</v>
      </c>
      <c r="C605" s="8" t="s">
        <v>175</v>
      </c>
      <c r="D605" s="12" t="e">
        <f>IF(#REF!&gt;=5,IFERROR(MAX(0,#REF!)/IFERROR(_xlfn.SINGLE(_xlfn.XLOOKUP(B605,MA_ARTICULOS!$A:$A,MA_ARTICULOS!$E:$E,1)),1),0),"")</f>
        <v>#REF!</v>
      </c>
      <c r="E605" s="15" t="s">
        <v>65</v>
      </c>
      <c r="F605" s="22" t="e">
        <f>IF(#REF!&gt;=5,IFERROR(D605*_xlfn.SINGLE(_xlfn.XLOOKUP(B605,MA_ARTICULOS!$A:$A,MA_ARTICULOS!$E:$E,0)),""),"")</f>
        <v>#REF!</v>
      </c>
    </row>
    <row r="606" spans="1:6" x14ac:dyDescent="0.3">
      <c r="A606" s="11" t="e">
        <f>IF(#REF!&gt;=5,#REF!,"")</f>
        <v>#REF!</v>
      </c>
      <c r="B606" s="8">
        <v>23080004</v>
      </c>
      <c r="C606" s="8" t="s">
        <v>176</v>
      </c>
      <c r="D606" s="12" t="e">
        <f>IF(#REF!&gt;=5,IFERROR(MAX(0,#REF!)/IFERROR(_xlfn.SINGLE(_xlfn.XLOOKUP(B606,MA_ARTICULOS!$A:$A,MA_ARTICULOS!$E:$E,1)),1),0),"")</f>
        <v>#REF!</v>
      </c>
      <c r="E606" s="15" t="s">
        <v>65</v>
      </c>
      <c r="F606" s="22" t="e">
        <f>IF(#REF!&gt;=5,IFERROR(D606*_xlfn.SINGLE(_xlfn.XLOOKUP(B606,MA_ARTICULOS!$A:$A,MA_ARTICULOS!$E:$E,0)),""),"")</f>
        <v>#REF!</v>
      </c>
    </row>
    <row r="607" spans="1:6" x14ac:dyDescent="0.3">
      <c r="A607" s="11" t="e">
        <f>IF(#REF!&gt;=5,#REF!,"")</f>
        <v>#REF!</v>
      </c>
      <c r="B607" s="8">
        <v>23080005</v>
      </c>
      <c r="C607" s="8" t="s">
        <v>177</v>
      </c>
      <c r="D607" s="12" t="e">
        <f>IF(#REF!&gt;=5,IFERROR(MAX(0,#REF!)/IFERROR(_xlfn.SINGLE(_xlfn.XLOOKUP(B607,MA_ARTICULOS!$A:$A,MA_ARTICULOS!$E:$E,1)),1),0),"")</f>
        <v>#REF!</v>
      </c>
      <c r="E607" s="15" t="s">
        <v>65</v>
      </c>
      <c r="F607" s="22" t="e">
        <f>IF(#REF!&gt;=5,IFERROR(D607*_xlfn.SINGLE(_xlfn.XLOOKUP(B607,MA_ARTICULOS!$A:$A,MA_ARTICULOS!$E:$E,0)),""),"")</f>
        <v>#REF!</v>
      </c>
    </row>
    <row r="608" spans="1:6" x14ac:dyDescent="0.3">
      <c r="A608" s="11" t="e">
        <f>IF(#REF!&gt;=5,#REF!,"")</f>
        <v>#REF!</v>
      </c>
      <c r="B608" s="8">
        <v>23080006</v>
      </c>
      <c r="C608" s="8" t="s">
        <v>178</v>
      </c>
      <c r="D608" s="12" t="e">
        <f>IF(#REF!&gt;=5,IFERROR(MAX(0,#REF!)/IFERROR(_xlfn.SINGLE(_xlfn.XLOOKUP(B608,MA_ARTICULOS!$A:$A,MA_ARTICULOS!$E:$E,1)),1),0),"")</f>
        <v>#REF!</v>
      </c>
      <c r="E608" s="15" t="s">
        <v>65</v>
      </c>
      <c r="F608" s="22" t="e">
        <f>IF(#REF!&gt;=5,IFERROR(D608*_xlfn.SINGLE(_xlfn.XLOOKUP(B608,MA_ARTICULOS!$A:$A,MA_ARTICULOS!$E:$E,0)),""),"")</f>
        <v>#REF!</v>
      </c>
    </row>
    <row r="609" spans="1:6" x14ac:dyDescent="0.3">
      <c r="A609" s="11" t="e">
        <f>IF(#REF!&gt;=5,#REF!,"")</f>
        <v>#REF!</v>
      </c>
      <c r="B609" s="8">
        <v>23080007</v>
      </c>
      <c r="C609" s="8" t="s">
        <v>179</v>
      </c>
      <c r="D609" s="12" t="e">
        <f>IF(#REF!&gt;=5,IFERROR(MAX(0,#REF!)/IFERROR(_xlfn.SINGLE(_xlfn.XLOOKUP(B609,MA_ARTICULOS!$A:$A,MA_ARTICULOS!$E:$E,1)),1),0),"")</f>
        <v>#REF!</v>
      </c>
      <c r="E609" s="15" t="s">
        <v>65</v>
      </c>
      <c r="F609" s="22" t="e">
        <f>IF(#REF!&gt;=5,IFERROR(D609*_xlfn.SINGLE(_xlfn.XLOOKUP(B609,MA_ARTICULOS!$A:$A,MA_ARTICULOS!$E:$E,0)),""),"")</f>
        <v>#REF!</v>
      </c>
    </row>
    <row r="610" spans="1:6" x14ac:dyDescent="0.3">
      <c r="A610" s="11" t="e">
        <f>IF(#REF!&gt;=5,#REF!,"")</f>
        <v>#REF!</v>
      </c>
      <c r="B610" s="8">
        <v>101</v>
      </c>
      <c r="C610" s="8" t="s">
        <v>180</v>
      </c>
      <c r="D610" s="12" t="e">
        <f>IF(#REF!&gt;=5,IFERROR(MAX(0,#REF!)/IFERROR(_xlfn.SINGLE(_xlfn.XLOOKUP(B610,MA_ARTICULOS!$A:$A,MA_ARTICULOS!$E:$E,1)),1),0),"")</f>
        <v>#REF!</v>
      </c>
      <c r="E610" s="15" t="s">
        <v>65</v>
      </c>
      <c r="F610" s="22" t="e">
        <f>IF(#REF!&gt;=5,IFERROR(D610*_xlfn.SINGLE(_xlfn.XLOOKUP(B610,MA_ARTICULOS!$A:$A,MA_ARTICULOS!$E:$E,0)),""),"")</f>
        <v>#REF!</v>
      </c>
    </row>
    <row r="611" spans="1:6" x14ac:dyDescent="0.3">
      <c r="A611" s="11" t="e">
        <f>IF(#REF!&gt;=5,#REF!,"")</f>
        <v>#REF!</v>
      </c>
      <c r="B611" s="8">
        <v>102</v>
      </c>
      <c r="C611" s="8" t="s">
        <v>181</v>
      </c>
      <c r="D611" s="12" t="e">
        <f>IF(#REF!&gt;=5,IFERROR(MAX(0,#REF!)/IFERROR(_xlfn.SINGLE(_xlfn.XLOOKUP(B611,MA_ARTICULOS!$A:$A,MA_ARTICULOS!$E:$E,1)),1),0),"")</f>
        <v>#REF!</v>
      </c>
      <c r="E611" s="15" t="s">
        <v>65</v>
      </c>
      <c r="F611" s="22" t="e">
        <f>IF(#REF!&gt;=5,IFERROR(D611*_xlfn.SINGLE(_xlfn.XLOOKUP(B611,MA_ARTICULOS!$A:$A,MA_ARTICULOS!$E:$E,0)),""),"")</f>
        <v>#REF!</v>
      </c>
    </row>
    <row r="612" spans="1:6" x14ac:dyDescent="0.3">
      <c r="A612" s="11" t="e">
        <f>IF(#REF!&gt;=5,#REF!,"")</f>
        <v>#REF!</v>
      </c>
      <c r="B612" s="8">
        <v>104</v>
      </c>
      <c r="C612" s="8" t="s">
        <v>182</v>
      </c>
      <c r="D612" s="12" t="e">
        <f>IF(#REF!&gt;=5,IFERROR(MAX(0,#REF!)/IFERROR(_xlfn.SINGLE(_xlfn.XLOOKUP(B612,MA_ARTICULOS!$A:$A,MA_ARTICULOS!$E:$E,1)),1),0),"")</f>
        <v>#REF!</v>
      </c>
      <c r="E612" s="15" t="s">
        <v>65</v>
      </c>
      <c r="F612" s="22" t="e">
        <f>IF(#REF!&gt;=5,IFERROR(D612*_xlfn.SINGLE(_xlfn.XLOOKUP(B612,MA_ARTICULOS!$A:$A,MA_ARTICULOS!$E:$E,0)),""),"")</f>
        <v>#REF!</v>
      </c>
    </row>
    <row r="613" spans="1:6" x14ac:dyDescent="0.3">
      <c r="A613" s="11" t="e">
        <f>IF(#REF!&gt;=5,#REF!,"")</f>
        <v>#REF!</v>
      </c>
      <c r="B613" s="8">
        <v>105</v>
      </c>
      <c r="C613" s="8" t="s">
        <v>183</v>
      </c>
      <c r="D613" s="12" t="e">
        <f>IF(#REF!&gt;=5,IFERROR(MAX(0,#REF!)/IFERROR(_xlfn.SINGLE(_xlfn.XLOOKUP(B613,MA_ARTICULOS!$A:$A,MA_ARTICULOS!$E:$E,1)),1),0),"")</f>
        <v>#REF!</v>
      </c>
      <c r="E613" s="15" t="s">
        <v>65</v>
      </c>
      <c r="F613" s="22" t="e">
        <f>IF(#REF!&gt;=5,IFERROR(D613*_xlfn.SINGLE(_xlfn.XLOOKUP(B613,MA_ARTICULOS!$A:$A,MA_ARTICULOS!$E:$E,0)),""),"")</f>
        <v>#REF!</v>
      </c>
    </row>
    <row r="614" spans="1:6" x14ac:dyDescent="0.3">
      <c r="A614" s="11" t="e">
        <f>IF(#REF!&gt;=5,#REF!,"")</f>
        <v>#REF!</v>
      </c>
      <c r="B614" s="8">
        <v>106</v>
      </c>
      <c r="C614" s="8" t="s">
        <v>184</v>
      </c>
      <c r="D614" s="12" t="e">
        <f>IF(#REF!&gt;=5,IFERROR(MAX(0,#REF!)/IFERROR(_xlfn.SINGLE(_xlfn.XLOOKUP(B614,MA_ARTICULOS!$A:$A,MA_ARTICULOS!$E:$E,1)),1),0),"")</f>
        <v>#REF!</v>
      </c>
      <c r="E614" s="15" t="s">
        <v>65</v>
      </c>
      <c r="F614" s="22" t="e">
        <f>IF(#REF!&gt;=5,IFERROR(D614*_xlfn.SINGLE(_xlfn.XLOOKUP(B614,MA_ARTICULOS!$A:$A,MA_ARTICULOS!$E:$E,0)),""),"")</f>
        <v>#REF!</v>
      </c>
    </row>
    <row r="615" spans="1:6" x14ac:dyDescent="0.3">
      <c r="A615" s="11" t="e">
        <f>IF(#REF!&gt;=5,#REF!,"")</f>
        <v>#REF!</v>
      </c>
      <c r="B615" s="8">
        <v>120</v>
      </c>
      <c r="C615" s="8" t="s">
        <v>185</v>
      </c>
      <c r="D615" s="12" t="e">
        <f>IF(#REF!&gt;=5,IFERROR(MAX(0,#REF!)/IFERROR(_xlfn.SINGLE(_xlfn.XLOOKUP(B615,MA_ARTICULOS!$A:$A,MA_ARTICULOS!$E:$E,1)),1),0),"")</f>
        <v>#REF!</v>
      </c>
      <c r="E615" s="15" t="s">
        <v>65</v>
      </c>
      <c r="F615" s="22" t="e">
        <f>IF(#REF!&gt;=5,IFERROR(D615*_xlfn.SINGLE(_xlfn.XLOOKUP(B615,MA_ARTICULOS!$A:$A,MA_ARTICULOS!$E:$E,0)),""),"")</f>
        <v>#REF!</v>
      </c>
    </row>
    <row r="616" spans="1:6" x14ac:dyDescent="0.3">
      <c r="A616" s="11" t="e">
        <f>IF(#REF!&gt;=5,#REF!,"")</f>
        <v>#REF!</v>
      </c>
      <c r="B616" s="8">
        <v>121</v>
      </c>
      <c r="C616" s="8" t="s">
        <v>186</v>
      </c>
      <c r="D616" s="12" t="e">
        <f>IF(#REF!&gt;=5,IFERROR(MAX(0,#REF!)/IFERROR(_xlfn.SINGLE(_xlfn.XLOOKUP(B616,MA_ARTICULOS!$A:$A,MA_ARTICULOS!$E:$E,1)),1),0),"")</f>
        <v>#REF!</v>
      </c>
      <c r="E616" s="15" t="s">
        <v>65</v>
      </c>
      <c r="F616" s="22" t="e">
        <f>IF(#REF!&gt;=5,IFERROR(D616*_xlfn.SINGLE(_xlfn.XLOOKUP(B616,MA_ARTICULOS!$A:$A,MA_ARTICULOS!$E:$E,0)),""),"")</f>
        <v>#REF!</v>
      </c>
    </row>
    <row r="617" spans="1:6" x14ac:dyDescent="0.3">
      <c r="A617" s="18" t="s">
        <v>208</v>
      </c>
      <c r="B617" s="14"/>
      <c r="C617" s="14"/>
      <c r="D617" s="14"/>
      <c r="E617" s="14"/>
      <c r="F617" s="21"/>
    </row>
    <row r="618" spans="1:6" x14ac:dyDescent="0.3">
      <c r="A618" s="11" t="e">
        <f>IF(#REF!&gt;=6,#REF!,"")</f>
        <v>#REF!</v>
      </c>
      <c r="B618" s="8">
        <v>11010001</v>
      </c>
      <c r="C618" s="8" t="s">
        <v>64</v>
      </c>
      <c r="D618" s="12" t="e">
        <f>IF(#REF!&gt;=6,IFERROR(MAX(0,#REF!)/IFERROR(_xlfn.SINGLE(_xlfn.XLOOKUP(B618,MA_ARTICULOS!$A:$A,MA_ARTICULOS!$E:$E,1)),1),0),"")</f>
        <v>#REF!</v>
      </c>
      <c r="E618" s="15" t="s">
        <v>65</v>
      </c>
      <c r="F618" s="22" t="e">
        <f>IF(#REF!&gt;=6,IFERROR(D618*_xlfn.SINGLE(_xlfn.XLOOKUP(B618,MA_ARTICULOS!$A:$A,MA_ARTICULOS!$E:$E,0)),""),"")</f>
        <v>#REF!</v>
      </c>
    </row>
    <row r="619" spans="1:6" x14ac:dyDescent="0.3">
      <c r="A619" s="11" t="e">
        <f>IF(#REF!&gt;=6,#REF!,"")</f>
        <v>#REF!</v>
      </c>
      <c r="B619" s="8">
        <v>11010002</v>
      </c>
      <c r="C619" s="8" t="s">
        <v>66</v>
      </c>
      <c r="D619" s="12" t="e">
        <f>IF(#REF!&gt;=6,IFERROR(MAX(0,#REF!)/IFERROR(_xlfn.SINGLE(_xlfn.XLOOKUP(B619,MA_ARTICULOS!$A:$A,MA_ARTICULOS!$E:$E,1)),1),0),"")</f>
        <v>#REF!</v>
      </c>
      <c r="E619" s="15" t="s">
        <v>65</v>
      </c>
      <c r="F619" s="22" t="e">
        <f>IF(#REF!&gt;=6,IFERROR(D619*_xlfn.SINGLE(_xlfn.XLOOKUP(B619,MA_ARTICULOS!$A:$A,MA_ARTICULOS!$E:$E,0)),""),"")</f>
        <v>#REF!</v>
      </c>
    </row>
    <row r="620" spans="1:6" x14ac:dyDescent="0.3">
      <c r="A620" s="11" t="e">
        <f>IF(#REF!&gt;=6,#REF!,"")</f>
        <v>#REF!</v>
      </c>
      <c r="B620" s="8">
        <v>11010003</v>
      </c>
      <c r="C620" s="8" t="s">
        <v>67</v>
      </c>
      <c r="D620" s="12" t="e">
        <f>IF(#REF!&gt;=6,IFERROR(MAX(0,#REF!)/IFERROR(_xlfn.SINGLE(_xlfn.XLOOKUP(B620,MA_ARTICULOS!$A:$A,MA_ARTICULOS!$E:$E,1)),1),0),"")</f>
        <v>#REF!</v>
      </c>
      <c r="E620" s="15" t="s">
        <v>65</v>
      </c>
      <c r="F620" s="22" t="e">
        <f>IF(#REF!&gt;=6,IFERROR(D620*_xlfn.SINGLE(_xlfn.XLOOKUP(B620,MA_ARTICULOS!$A:$A,MA_ARTICULOS!$E:$E,0)),""),"")</f>
        <v>#REF!</v>
      </c>
    </row>
    <row r="621" spans="1:6" x14ac:dyDescent="0.3">
      <c r="A621" s="11" t="e">
        <f>IF(#REF!&gt;=6,#REF!,"")</f>
        <v>#REF!</v>
      </c>
      <c r="B621" s="8">
        <v>11010004</v>
      </c>
      <c r="C621" s="8" t="s">
        <v>68</v>
      </c>
      <c r="D621" s="12" t="e">
        <f>IF(#REF!&gt;=6,IFERROR(MAX(0,#REF!)/IFERROR(_xlfn.SINGLE(_xlfn.XLOOKUP(B621,MA_ARTICULOS!$A:$A,MA_ARTICULOS!$E:$E,1)),1),0),"")</f>
        <v>#REF!</v>
      </c>
      <c r="E621" s="15" t="s">
        <v>65</v>
      </c>
      <c r="F621" s="22" t="e">
        <f>IF(#REF!&gt;=6,IFERROR(D621*_xlfn.SINGLE(_xlfn.XLOOKUP(B621,MA_ARTICULOS!$A:$A,MA_ARTICULOS!$E:$E,0)),""),"")</f>
        <v>#REF!</v>
      </c>
    </row>
    <row r="622" spans="1:6" x14ac:dyDescent="0.3">
      <c r="A622" s="11" t="e">
        <f>IF(#REF!&gt;=6,#REF!,"")</f>
        <v>#REF!</v>
      </c>
      <c r="B622" s="8">
        <v>11010005</v>
      </c>
      <c r="C622" s="8" t="s">
        <v>69</v>
      </c>
      <c r="D622" s="12" t="e">
        <f>IF(#REF!&gt;=6,IFERROR(MAX(0,#REF!)/IFERROR(_xlfn.SINGLE(_xlfn.XLOOKUP(B622,MA_ARTICULOS!$A:$A,MA_ARTICULOS!$E:$E,1)),1),0),"")</f>
        <v>#REF!</v>
      </c>
      <c r="E622" s="15" t="s">
        <v>65</v>
      </c>
      <c r="F622" s="22" t="e">
        <f>IF(#REF!&gt;=6,IFERROR(D622*_xlfn.SINGLE(_xlfn.XLOOKUP(B622,MA_ARTICULOS!$A:$A,MA_ARTICULOS!$E:$E,0)),""),"")</f>
        <v>#REF!</v>
      </c>
    </row>
    <row r="623" spans="1:6" x14ac:dyDescent="0.3">
      <c r="A623" s="11" t="e">
        <f>IF(#REF!&gt;=6,#REF!,"")</f>
        <v>#REF!</v>
      </c>
      <c r="B623" s="8">
        <v>11010007</v>
      </c>
      <c r="C623" s="8" t="s">
        <v>70</v>
      </c>
      <c r="D623" s="12" t="e">
        <f>IF(#REF!&gt;=6,IFERROR(MAX(0,#REF!)/IFERROR(_xlfn.SINGLE(_xlfn.XLOOKUP(B623,MA_ARTICULOS!$A:$A,MA_ARTICULOS!$E:$E,1)),1),0),"")</f>
        <v>#REF!</v>
      </c>
      <c r="E623" s="15" t="s">
        <v>65</v>
      </c>
      <c r="F623" s="22" t="e">
        <f>IF(#REF!&gt;=6,IFERROR(D623*_xlfn.SINGLE(_xlfn.XLOOKUP(B623,MA_ARTICULOS!$A:$A,MA_ARTICULOS!$E:$E,0)),""),"")</f>
        <v>#REF!</v>
      </c>
    </row>
    <row r="624" spans="1:6" x14ac:dyDescent="0.3">
      <c r="A624" s="11" t="e">
        <f>IF(#REF!&gt;=6,#REF!,"")</f>
        <v>#REF!</v>
      </c>
      <c r="B624" s="8">
        <v>11010008</v>
      </c>
      <c r="C624" s="8" t="s">
        <v>71</v>
      </c>
      <c r="D624" s="12" t="e">
        <f>IF(#REF!&gt;=6,IFERROR(MAX(0,#REF!)/IFERROR(_xlfn.SINGLE(_xlfn.XLOOKUP(B624,MA_ARTICULOS!$A:$A,MA_ARTICULOS!$E:$E,1)),1),0),"")</f>
        <v>#REF!</v>
      </c>
      <c r="E624" s="15" t="s">
        <v>65</v>
      </c>
      <c r="F624" s="22" t="e">
        <f>IF(#REF!&gt;=6,IFERROR(D624*_xlfn.SINGLE(_xlfn.XLOOKUP(B624,MA_ARTICULOS!$A:$A,MA_ARTICULOS!$E:$E,0)),""),"")</f>
        <v>#REF!</v>
      </c>
    </row>
    <row r="625" spans="1:6" x14ac:dyDescent="0.3">
      <c r="A625" s="11" t="e">
        <f>IF(#REF!&gt;=6,#REF!,"")</f>
        <v>#REF!</v>
      </c>
      <c r="B625" s="8">
        <v>11010009</v>
      </c>
      <c r="C625" s="8" t="s">
        <v>72</v>
      </c>
      <c r="D625" s="12" t="e">
        <f>IF(#REF!&gt;=6,IFERROR(MAX(0,#REF!)/IFERROR(_xlfn.SINGLE(_xlfn.XLOOKUP(B625,MA_ARTICULOS!$A:$A,MA_ARTICULOS!$E:$E,1)),1),0),"")</f>
        <v>#REF!</v>
      </c>
      <c r="E625" s="15" t="s">
        <v>65</v>
      </c>
      <c r="F625" s="22" t="e">
        <f>IF(#REF!&gt;=6,IFERROR(D625*_xlfn.SINGLE(_xlfn.XLOOKUP(B625,MA_ARTICULOS!$A:$A,MA_ARTICULOS!$E:$E,0)),""),"")</f>
        <v>#REF!</v>
      </c>
    </row>
    <row r="626" spans="1:6" x14ac:dyDescent="0.3">
      <c r="A626" s="11" t="e">
        <f>IF(#REF!&gt;=6,#REF!,"")</f>
        <v>#REF!</v>
      </c>
      <c r="B626" s="8">
        <v>11010010</v>
      </c>
      <c r="C626" s="8" t="s">
        <v>73</v>
      </c>
      <c r="D626" s="12" t="e">
        <f>IF(#REF!&gt;=6,IFERROR(MAX(0,#REF!)/IFERROR(_xlfn.SINGLE(_xlfn.XLOOKUP(B626,MA_ARTICULOS!$A:$A,MA_ARTICULOS!$E:$E,1)),1),0),"")</f>
        <v>#REF!</v>
      </c>
      <c r="E626" s="15" t="s">
        <v>65</v>
      </c>
      <c r="F626" s="22" t="e">
        <f>IF(#REF!&gt;=6,IFERROR(D626*_xlfn.SINGLE(_xlfn.XLOOKUP(B626,MA_ARTICULOS!$A:$A,MA_ARTICULOS!$E:$E,0)),""),"")</f>
        <v>#REF!</v>
      </c>
    </row>
    <row r="627" spans="1:6" x14ac:dyDescent="0.3">
      <c r="A627" s="11" t="e">
        <f>IF(#REF!&gt;=6,#REF!,"")</f>
        <v>#REF!</v>
      </c>
      <c r="B627" s="8">
        <v>11010011</v>
      </c>
      <c r="C627" s="8" t="s">
        <v>74</v>
      </c>
      <c r="D627" s="12" t="e">
        <f>IF(#REF!&gt;=6,IFERROR(MAX(0,#REF!)/IFERROR(_xlfn.SINGLE(_xlfn.XLOOKUP(B627,MA_ARTICULOS!$A:$A,MA_ARTICULOS!$E:$E,1)),1),0),"")</f>
        <v>#REF!</v>
      </c>
      <c r="E627" s="15" t="s">
        <v>65</v>
      </c>
      <c r="F627" s="22" t="e">
        <f>IF(#REF!&gt;=6,IFERROR(D627*_xlfn.SINGLE(_xlfn.XLOOKUP(B627,MA_ARTICULOS!$A:$A,MA_ARTICULOS!$E:$E,0)),""),"")</f>
        <v>#REF!</v>
      </c>
    </row>
    <row r="628" spans="1:6" x14ac:dyDescent="0.3">
      <c r="A628" s="11" t="e">
        <f>IF(#REF!&gt;=6,#REF!,"")</f>
        <v>#REF!</v>
      </c>
      <c r="B628" s="8">
        <v>11010013</v>
      </c>
      <c r="C628" s="8" t="s">
        <v>75</v>
      </c>
      <c r="D628" s="12" t="e">
        <f>IF(#REF!&gt;=6,IFERROR(MAX(0,#REF!)/IFERROR(_xlfn.SINGLE(_xlfn.XLOOKUP(B628,MA_ARTICULOS!$A:$A,MA_ARTICULOS!$E:$E,1)),1),0),"")</f>
        <v>#REF!</v>
      </c>
      <c r="E628" s="15" t="s">
        <v>65</v>
      </c>
      <c r="F628" s="22" t="e">
        <f>IF(#REF!&gt;=6,IFERROR(D628*_xlfn.SINGLE(_xlfn.XLOOKUP(B628,MA_ARTICULOS!$A:$A,MA_ARTICULOS!$E:$E,0)),""),"")</f>
        <v>#REF!</v>
      </c>
    </row>
    <row r="629" spans="1:6" x14ac:dyDescent="0.3">
      <c r="A629" s="11" t="e">
        <f>IF(#REF!&gt;=6,#REF!,"")</f>
        <v>#REF!</v>
      </c>
      <c r="B629" s="8">
        <v>11010014</v>
      </c>
      <c r="C629" s="8" t="s">
        <v>76</v>
      </c>
      <c r="D629" s="12" t="e">
        <f>IF(#REF!&gt;=6,IFERROR(MAX(0,#REF!)/IFERROR(_xlfn.SINGLE(_xlfn.XLOOKUP(B629,MA_ARTICULOS!$A:$A,MA_ARTICULOS!$E:$E,1)),1),0),"")</f>
        <v>#REF!</v>
      </c>
      <c r="E629" s="15" t="s">
        <v>65</v>
      </c>
      <c r="F629" s="22" t="e">
        <f>IF(#REF!&gt;=6,IFERROR(D629*_xlfn.SINGLE(_xlfn.XLOOKUP(B629,MA_ARTICULOS!$A:$A,MA_ARTICULOS!$E:$E,0)),""),"")</f>
        <v>#REF!</v>
      </c>
    </row>
    <row r="630" spans="1:6" x14ac:dyDescent="0.3">
      <c r="A630" s="11" t="e">
        <f>IF(#REF!&gt;=6,#REF!,"")</f>
        <v>#REF!</v>
      </c>
      <c r="B630" s="8">
        <v>11010015</v>
      </c>
      <c r="C630" s="8" t="s">
        <v>77</v>
      </c>
      <c r="D630" s="12" t="e">
        <f>IF(#REF!&gt;=6,IFERROR(MAX(0,#REF!)/IFERROR(_xlfn.SINGLE(_xlfn.XLOOKUP(B630,MA_ARTICULOS!$A:$A,MA_ARTICULOS!$E:$E,1)),1),0),"")</f>
        <v>#REF!</v>
      </c>
      <c r="E630" s="15" t="s">
        <v>65</v>
      </c>
      <c r="F630" s="22" t="e">
        <f>IF(#REF!&gt;=6,IFERROR(D630*_xlfn.SINGLE(_xlfn.XLOOKUP(B630,MA_ARTICULOS!$A:$A,MA_ARTICULOS!$E:$E,0)),""),"")</f>
        <v>#REF!</v>
      </c>
    </row>
    <row r="631" spans="1:6" x14ac:dyDescent="0.3">
      <c r="A631" s="11" t="e">
        <f>IF(#REF!&gt;=6,#REF!,"")</f>
        <v>#REF!</v>
      </c>
      <c r="B631" s="8">
        <v>11010018</v>
      </c>
      <c r="C631" s="8" t="s">
        <v>78</v>
      </c>
      <c r="D631" s="12" t="e">
        <f>IF(#REF!&gt;=6,IFERROR(MAX(0,#REF!)/IFERROR(_xlfn.SINGLE(_xlfn.XLOOKUP(B631,MA_ARTICULOS!$A:$A,MA_ARTICULOS!$E:$E,1)),1),0),"")</f>
        <v>#REF!</v>
      </c>
      <c r="E631" s="15" t="s">
        <v>65</v>
      </c>
      <c r="F631" s="22" t="e">
        <f>IF(#REF!&gt;=6,IFERROR(D631*_xlfn.SINGLE(_xlfn.XLOOKUP(B631,MA_ARTICULOS!$A:$A,MA_ARTICULOS!$E:$E,0)),""),"")</f>
        <v>#REF!</v>
      </c>
    </row>
    <row r="632" spans="1:6" x14ac:dyDescent="0.3">
      <c r="A632" s="11" t="e">
        <f>IF(#REF!&gt;=6,#REF!,"")</f>
        <v>#REF!</v>
      </c>
      <c r="B632" s="8">
        <v>11010019</v>
      </c>
      <c r="C632" s="8" t="s">
        <v>79</v>
      </c>
      <c r="D632" s="12" t="e">
        <f>IF(#REF!&gt;=6,IFERROR(MAX(0,#REF!)/IFERROR(_xlfn.SINGLE(_xlfn.XLOOKUP(B632,MA_ARTICULOS!$A:$A,MA_ARTICULOS!$E:$E,1)),1),0),"")</f>
        <v>#REF!</v>
      </c>
      <c r="E632" s="15" t="s">
        <v>65</v>
      </c>
      <c r="F632" s="22" t="e">
        <f>IF(#REF!&gt;=6,IFERROR(D632*_xlfn.SINGLE(_xlfn.XLOOKUP(B632,MA_ARTICULOS!$A:$A,MA_ARTICULOS!$E:$E,0)),""),"")</f>
        <v>#REF!</v>
      </c>
    </row>
    <row r="633" spans="1:6" x14ac:dyDescent="0.3">
      <c r="A633" s="11" t="e">
        <f>IF(#REF!&gt;=6,#REF!,"")</f>
        <v>#REF!</v>
      </c>
      <c r="B633" s="8">
        <v>11010020</v>
      </c>
      <c r="C633" s="8" t="s">
        <v>80</v>
      </c>
      <c r="D633" s="12" t="e">
        <f>IF(#REF!&gt;=6,IFERROR(MAX(0,#REF!)/IFERROR(_xlfn.SINGLE(_xlfn.XLOOKUP(B633,MA_ARTICULOS!$A:$A,MA_ARTICULOS!$E:$E,1)),1),0),"")</f>
        <v>#REF!</v>
      </c>
      <c r="E633" s="15" t="s">
        <v>65</v>
      </c>
      <c r="F633" s="22" t="e">
        <f>IF(#REF!&gt;=6,IFERROR(D633*_xlfn.SINGLE(_xlfn.XLOOKUP(B633,MA_ARTICULOS!$A:$A,MA_ARTICULOS!$E:$E,0)),""),"")</f>
        <v>#REF!</v>
      </c>
    </row>
    <row r="634" spans="1:6" x14ac:dyDescent="0.3">
      <c r="A634" s="11" t="e">
        <f>IF(#REF!&gt;=6,#REF!,"")</f>
        <v>#REF!</v>
      </c>
      <c r="B634" s="8">
        <v>11010022</v>
      </c>
      <c r="C634" s="8" t="s">
        <v>81</v>
      </c>
      <c r="D634" s="12" t="e">
        <f>IF(#REF!&gt;=6,IFERROR(MAX(0,#REF!)/IFERROR(_xlfn.SINGLE(_xlfn.XLOOKUP(B634,MA_ARTICULOS!$A:$A,MA_ARTICULOS!$E:$E,1)),1),0),"")</f>
        <v>#REF!</v>
      </c>
      <c r="E634" s="15" t="s">
        <v>65</v>
      </c>
      <c r="F634" s="22" t="e">
        <f>IF(#REF!&gt;=6,IFERROR(D634*_xlfn.SINGLE(_xlfn.XLOOKUP(B634,MA_ARTICULOS!$A:$A,MA_ARTICULOS!$E:$E,0)),""),"")</f>
        <v>#REF!</v>
      </c>
    </row>
    <row r="635" spans="1:6" x14ac:dyDescent="0.3">
      <c r="A635" s="11" t="e">
        <f>IF(#REF!&gt;=6,#REF!,"")</f>
        <v>#REF!</v>
      </c>
      <c r="B635" s="8">
        <v>11010023</v>
      </c>
      <c r="C635" s="8" t="s">
        <v>82</v>
      </c>
      <c r="D635" s="12" t="e">
        <f>IF(#REF!&gt;=6,IFERROR(MAX(0,#REF!)/IFERROR(_xlfn.SINGLE(_xlfn.XLOOKUP(B635,MA_ARTICULOS!$A:$A,MA_ARTICULOS!$E:$E,1)),1),0),"")</f>
        <v>#REF!</v>
      </c>
      <c r="E635" s="15" t="s">
        <v>65</v>
      </c>
      <c r="F635" s="22" t="e">
        <f>IF(#REF!&gt;=6,IFERROR(D635*_xlfn.SINGLE(_xlfn.XLOOKUP(B635,MA_ARTICULOS!$A:$A,MA_ARTICULOS!$E:$E,0)),""),"")</f>
        <v>#REF!</v>
      </c>
    </row>
    <row r="636" spans="1:6" x14ac:dyDescent="0.3">
      <c r="A636" s="11" t="e">
        <f>IF(#REF!&gt;=6,#REF!,"")</f>
        <v>#REF!</v>
      </c>
      <c r="B636" s="8">
        <v>11010027</v>
      </c>
      <c r="C636" s="8" t="s">
        <v>83</v>
      </c>
      <c r="D636" s="12" t="e">
        <f>IF(#REF!&gt;=6,IFERROR(MAX(0,#REF!)/IFERROR(_xlfn.SINGLE(_xlfn.XLOOKUP(B636,MA_ARTICULOS!$A:$A,MA_ARTICULOS!$E:$E,1)),1),0),"")</f>
        <v>#REF!</v>
      </c>
      <c r="E636" s="15" t="s">
        <v>65</v>
      </c>
      <c r="F636" s="22" t="e">
        <f>IF(#REF!&gt;=6,IFERROR(D636*_xlfn.SINGLE(_xlfn.XLOOKUP(B636,MA_ARTICULOS!$A:$A,MA_ARTICULOS!$E:$E,0)),""),"")</f>
        <v>#REF!</v>
      </c>
    </row>
    <row r="637" spans="1:6" x14ac:dyDescent="0.3">
      <c r="A637" s="11" t="e">
        <f>IF(#REF!&gt;=6,#REF!,"")</f>
        <v>#REF!</v>
      </c>
      <c r="B637" s="8">
        <v>11010201</v>
      </c>
      <c r="C637" s="8" t="s">
        <v>84</v>
      </c>
      <c r="D637" s="12" t="e">
        <f>IF(#REF!&gt;=6,IFERROR(MAX(0,#REF!)/IFERROR(_xlfn.SINGLE(_xlfn.XLOOKUP(B637,MA_ARTICULOS!$A:$A,MA_ARTICULOS!$E:$E,1)),1),0),"")</f>
        <v>#REF!</v>
      </c>
      <c r="E637" s="15" t="s">
        <v>65</v>
      </c>
      <c r="F637" s="22" t="e">
        <f>IF(#REF!&gt;=6,IFERROR(D637*_xlfn.SINGLE(_xlfn.XLOOKUP(B637,MA_ARTICULOS!$A:$A,MA_ARTICULOS!$E:$E,0)),""),"")</f>
        <v>#REF!</v>
      </c>
    </row>
    <row r="638" spans="1:6" x14ac:dyDescent="0.3">
      <c r="A638" s="11" t="e">
        <f>IF(#REF!&gt;=6,#REF!,"")</f>
        <v>#REF!</v>
      </c>
      <c r="B638" s="8">
        <v>11010202</v>
      </c>
      <c r="C638" s="8" t="s">
        <v>85</v>
      </c>
      <c r="D638" s="12" t="e">
        <f>IF(#REF!&gt;=6,IFERROR(MAX(0,#REF!)/IFERROR(_xlfn.SINGLE(_xlfn.XLOOKUP(B638,MA_ARTICULOS!$A:$A,MA_ARTICULOS!$E:$E,1)),1),0),"")</f>
        <v>#REF!</v>
      </c>
      <c r="E638" s="15" t="s">
        <v>65</v>
      </c>
      <c r="F638" s="22" t="e">
        <f>IF(#REF!&gt;=6,IFERROR(D638*_xlfn.SINGLE(_xlfn.XLOOKUP(B638,MA_ARTICULOS!$A:$A,MA_ARTICULOS!$E:$E,0)),""),"")</f>
        <v>#REF!</v>
      </c>
    </row>
    <row r="639" spans="1:6" x14ac:dyDescent="0.3">
      <c r="A639" s="11" t="e">
        <f>IF(#REF!&gt;=6,#REF!,"")</f>
        <v>#REF!</v>
      </c>
      <c r="B639" s="8">
        <v>11010203</v>
      </c>
      <c r="C639" s="8" t="s">
        <v>86</v>
      </c>
      <c r="D639" s="12" t="e">
        <f>IF(#REF!&gt;=6,IFERROR(MAX(0,#REF!)/IFERROR(_xlfn.SINGLE(_xlfn.XLOOKUP(B639,MA_ARTICULOS!$A:$A,MA_ARTICULOS!$E:$E,1)),1),0),"")</f>
        <v>#REF!</v>
      </c>
      <c r="E639" s="15" t="s">
        <v>65</v>
      </c>
      <c r="F639" s="22" t="e">
        <f>IF(#REF!&gt;=6,IFERROR(D639*_xlfn.SINGLE(_xlfn.XLOOKUP(B639,MA_ARTICULOS!$A:$A,MA_ARTICULOS!$E:$E,0)),""),"")</f>
        <v>#REF!</v>
      </c>
    </row>
    <row r="640" spans="1:6" x14ac:dyDescent="0.3">
      <c r="A640" s="11" t="e">
        <f>IF(#REF!&gt;=6,#REF!,"")</f>
        <v>#REF!</v>
      </c>
      <c r="B640" s="8">
        <v>11010204</v>
      </c>
      <c r="C640" s="8" t="s">
        <v>87</v>
      </c>
      <c r="D640" s="12" t="e">
        <f>IF(#REF!&gt;=6,IFERROR(MAX(0,#REF!)/IFERROR(_xlfn.SINGLE(_xlfn.XLOOKUP(B640,MA_ARTICULOS!$A:$A,MA_ARTICULOS!$E:$E,1)),1),0),"")</f>
        <v>#REF!</v>
      </c>
      <c r="E640" s="15" t="s">
        <v>65</v>
      </c>
      <c r="F640" s="22" t="e">
        <f>IF(#REF!&gt;=6,IFERROR(D640*_xlfn.SINGLE(_xlfn.XLOOKUP(B640,MA_ARTICULOS!$A:$A,MA_ARTICULOS!$E:$E,0)),""),"")</f>
        <v>#REF!</v>
      </c>
    </row>
    <row r="641" spans="1:6" x14ac:dyDescent="0.3">
      <c r="A641" s="11" t="e">
        <f>IF(#REF!&gt;=6,#REF!,"")</f>
        <v>#REF!</v>
      </c>
      <c r="B641" s="8">
        <v>11010301</v>
      </c>
      <c r="C641" s="8" t="s">
        <v>88</v>
      </c>
      <c r="D641" s="12" t="e">
        <f>IF(#REF!&gt;=6,IFERROR(MAX(0,#REF!)/IFERROR(_xlfn.SINGLE(_xlfn.XLOOKUP(B641,MA_ARTICULOS!$A:$A,MA_ARTICULOS!$E:$E,1)),1),0),"")</f>
        <v>#REF!</v>
      </c>
      <c r="E641" s="15" t="s">
        <v>65</v>
      </c>
      <c r="F641" s="22" t="e">
        <f>IF(#REF!&gt;=6,IFERROR(D641*_xlfn.SINGLE(_xlfn.XLOOKUP(B641,MA_ARTICULOS!$A:$A,MA_ARTICULOS!$E:$E,0)),""),"")</f>
        <v>#REF!</v>
      </c>
    </row>
    <row r="642" spans="1:6" x14ac:dyDescent="0.3">
      <c r="A642" s="11" t="e">
        <f>IF(#REF!&gt;=6,#REF!,"")</f>
        <v>#REF!</v>
      </c>
      <c r="B642" s="8">
        <v>11010302</v>
      </c>
      <c r="C642" s="8" t="s">
        <v>89</v>
      </c>
      <c r="D642" s="12" t="e">
        <f>IF(#REF!&gt;=6,IFERROR(MAX(0,#REF!)/IFERROR(_xlfn.SINGLE(_xlfn.XLOOKUP(B642,MA_ARTICULOS!$A:$A,MA_ARTICULOS!$E:$E,1)),1),0),"")</f>
        <v>#REF!</v>
      </c>
      <c r="E642" s="15" t="s">
        <v>65</v>
      </c>
      <c r="F642" s="22" t="e">
        <f>IF(#REF!&gt;=6,IFERROR(D642*_xlfn.SINGLE(_xlfn.XLOOKUP(B642,MA_ARTICULOS!$A:$A,MA_ARTICULOS!$E:$E,0)),""),"")</f>
        <v>#REF!</v>
      </c>
    </row>
    <row r="643" spans="1:6" x14ac:dyDescent="0.3">
      <c r="A643" s="11" t="e">
        <f>IF(#REF!&gt;=6,#REF!,"")</f>
        <v>#REF!</v>
      </c>
      <c r="B643" s="8">
        <v>11010303</v>
      </c>
      <c r="C643" s="8" t="s">
        <v>90</v>
      </c>
      <c r="D643" s="12" t="e">
        <f>IF(#REF!&gt;=6,IFERROR(MAX(0,#REF!)/IFERROR(_xlfn.SINGLE(_xlfn.XLOOKUP(B643,MA_ARTICULOS!$A:$A,MA_ARTICULOS!$E:$E,1)),1),0),"")</f>
        <v>#REF!</v>
      </c>
      <c r="E643" s="15" t="s">
        <v>65</v>
      </c>
      <c r="F643" s="22" t="e">
        <f>IF(#REF!&gt;=6,IFERROR(D643*_xlfn.SINGLE(_xlfn.XLOOKUP(B643,MA_ARTICULOS!$A:$A,MA_ARTICULOS!$E:$E,0)),""),"")</f>
        <v>#REF!</v>
      </c>
    </row>
    <row r="644" spans="1:6" x14ac:dyDescent="0.3">
      <c r="A644" s="11" t="e">
        <f>IF(#REF!&gt;=6,#REF!,"")</f>
        <v>#REF!</v>
      </c>
      <c r="B644" s="8">
        <v>11010304</v>
      </c>
      <c r="C644" s="8" t="s">
        <v>91</v>
      </c>
      <c r="D644" s="12" t="e">
        <f>IF(#REF!&gt;=6,IFERROR(MAX(0,#REF!)/IFERROR(_xlfn.SINGLE(_xlfn.XLOOKUP(B644,MA_ARTICULOS!$A:$A,MA_ARTICULOS!$E:$E,1)),1),0),"")</f>
        <v>#REF!</v>
      </c>
      <c r="E644" s="15" t="s">
        <v>65</v>
      </c>
      <c r="F644" s="22" t="e">
        <f>IF(#REF!&gt;=6,IFERROR(D644*_xlfn.SINGLE(_xlfn.XLOOKUP(B644,MA_ARTICULOS!$A:$A,MA_ARTICULOS!$E:$E,0)),""),"")</f>
        <v>#REF!</v>
      </c>
    </row>
    <row r="645" spans="1:6" x14ac:dyDescent="0.3">
      <c r="A645" s="11" t="e">
        <f>IF(#REF!&gt;=6,#REF!,"")</f>
        <v>#REF!</v>
      </c>
      <c r="B645" s="8">
        <v>11010305</v>
      </c>
      <c r="C645" s="8" t="s">
        <v>92</v>
      </c>
      <c r="D645" s="12" t="e">
        <f>IF(#REF!&gt;=6,IFERROR(MAX(0,#REF!)/IFERROR(_xlfn.SINGLE(_xlfn.XLOOKUP(B645,MA_ARTICULOS!$A:$A,MA_ARTICULOS!$E:$E,1)),1),0),"")</f>
        <v>#REF!</v>
      </c>
      <c r="E645" s="15" t="s">
        <v>65</v>
      </c>
      <c r="F645" s="22" t="e">
        <f>IF(#REF!&gt;=6,IFERROR(D645*_xlfn.SINGLE(_xlfn.XLOOKUP(B645,MA_ARTICULOS!$A:$A,MA_ARTICULOS!$E:$E,0)),""),"")</f>
        <v>#REF!</v>
      </c>
    </row>
    <row r="646" spans="1:6" x14ac:dyDescent="0.3">
      <c r="A646" s="11" t="e">
        <f>IF(#REF!&gt;=6,#REF!,"")</f>
        <v>#REF!</v>
      </c>
      <c r="B646" s="8">
        <v>11010306</v>
      </c>
      <c r="C646" s="8" t="s">
        <v>93</v>
      </c>
      <c r="D646" s="12" t="e">
        <f>IF(#REF!&gt;=6,IFERROR(MAX(0,#REF!)/IFERROR(_xlfn.SINGLE(_xlfn.XLOOKUP(B646,MA_ARTICULOS!$A:$A,MA_ARTICULOS!$E:$E,1)),1),0),"")</f>
        <v>#REF!</v>
      </c>
      <c r="E646" s="15" t="s">
        <v>65</v>
      </c>
      <c r="F646" s="22" t="e">
        <f>IF(#REF!&gt;=6,IFERROR(D646*_xlfn.SINGLE(_xlfn.XLOOKUP(B646,MA_ARTICULOS!$A:$A,MA_ARTICULOS!$E:$E,0)),""),"")</f>
        <v>#REF!</v>
      </c>
    </row>
    <row r="647" spans="1:6" x14ac:dyDescent="0.3">
      <c r="A647" s="11" t="e">
        <f>IF(#REF!&gt;=6,#REF!,"")</f>
        <v>#REF!</v>
      </c>
      <c r="B647" s="8">
        <v>11010307</v>
      </c>
      <c r="C647" s="8" t="s">
        <v>94</v>
      </c>
      <c r="D647" s="12" t="e">
        <f>IF(#REF!&gt;=6,IFERROR(MAX(0,#REF!)/IFERROR(_xlfn.SINGLE(_xlfn.XLOOKUP(B647,MA_ARTICULOS!$A:$A,MA_ARTICULOS!$E:$E,1)),1),0),"")</f>
        <v>#REF!</v>
      </c>
      <c r="E647" s="15" t="s">
        <v>65</v>
      </c>
      <c r="F647" s="22" t="e">
        <f>IF(#REF!&gt;=6,IFERROR(D647*_xlfn.SINGLE(_xlfn.XLOOKUP(B647,MA_ARTICULOS!$A:$A,MA_ARTICULOS!$E:$E,0)),""),"")</f>
        <v>#REF!</v>
      </c>
    </row>
    <row r="648" spans="1:6" x14ac:dyDescent="0.3">
      <c r="A648" s="11" t="e">
        <f>IF(#REF!&gt;=6,#REF!,"")</f>
        <v>#REF!</v>
      </c>
      <c r="B648" s="8">
        <v>11010308</v>
      </c>
      <c r="C648" s="8" t="s">
        <v>95</v>
      </c>
      <c r="D648" s="12" t="e">
        <f>IF(#REF!&gt;=6,IFERROR(MAX(0,#REF!)/IFERROR(_xlfn.SINGLE(_xlfn.XLOOKUP(B648,MA_ARTICULOS!$A:$A,MA_ARTICULOS!$E:$E,1)),1),0),"")</f>
        <v>#REF!</v>
      </c>
      <c r="E648" s="15" t="s">
        <v>65</v>
      </c>
      <c r="F648" s="22" t="e">
        <f>IF(#REF!&gt;=6,IFERROR(D648*_xlfn.SINGLE(_xlfn.XLOOKUP(B648,MA_ARTICULOS!$A:$A,MA_ARTICULOS!$E:$E,0)),""),"")</f>
        <v>#REF!</v>
      </c>
    </row>
    <row r="649" spans="1:6" x14ac:dyDescent="0.3">
      <c r="A649" s="11" t="e">
        <f>IF(#REF!&gt;=6,#REF!,"")</f>
        <v>#REF!</v>
      </c>
      <c r="B649" s="8">
        <v>11010309</v>
      </c>
      <c r="C649" s="8" t="s">
        <v>96</v>
      </c>
      <c r="D649" s="12" t="e">
        <f>IF(#REF!&gt;=6,IFERROR(MAX(0,#REF!)/IFERROR(_xlfn.SINGLE(_xlfn.XLOOKUP(B649,MA_ARTICULOS!$A:$A,MA_ARTICULOS!$E:$E,1)),1),0),"")</f>
        <v>#REF!</v>
      </c>
      <c r="E649" s="15" t="s">
        <v>65</v>
      </c>
      <c r="F649" s="22" t="e">
        <f>IF(#REF!&gt;=6,IFERROR(D649*_xlfn.SINGLE(_xlfn.XLOOKUP(B649,MA_ARTICULOS!$A:$A,MA_ARTICULOS!$E:$E,0)),""),"")</f>
        <v>#REF!</v>
      </c>
    </row>
    <row r="650" spans="1:6" x14ac:dyDescent="0.3">
      <c r="A650" s="11" t="e">
        <f>IF(#REF!&gt;=6,#REF!,"")</f>
        <v>#REF!</v>
      </c>
      <c r="B650" s="8">
        <v>11020001</v>
      </c>
      <c r="C650" s="8" t="s">
        <v>97</v>
      </c>
      <c r="D650" s="12" t="e">
        <f>IF(#REF!&gt;=6,IFERROR(MAX(0,#REF!)/IFERROR(_xlfn.SINGLE(_xlfn.XLOOKUP(B650,MA_ARTICULOS!$A:$A,MA_ARTICULOS!$E:$E,1)),1),0),"")</f>
        <v>#REF!</v>
      </c>
      <c r="E650" s="15" t="s">
        <v>65</v>
      </c>
      <c r="F650" s="22" t="e">
        <f>IF(#REF!&gt;=6,IFERROR(D650*_xlfn.SINGLE(_xlfn.XLOOKUP(B650,MA_ARTICULOS!$A:$A,MA_ARTICULOS!$E:$E,0)),""),"")</f>
        <v>#REF!</v>
      </c>
    </row>
    <row r="651" spans="1:6" x14ac:dyDescent="0.3">
      <c r="A651" s="11" t="e">
        <f>IF(#REF!&gt;=6,#REF!,"")</f>
        <v>#REF!</v>
      </c>
      <c r="B651" s="8">
        <v>11020002</v>
      </c>
      <c r="C651" s="8" t="s">
        <v>98</v>
      </c>
      <c r="D651" s="12" t="e">
        <f>IF(#REF!&gt;=6,IFERROR(MAX(0,#REF!)/IFERROR(_xlfn.SINGLE(_xlfn.XLOOKUP(B651,MA_ARTICULOS!$A:$A,MA_ARTICULOS!$E:$E,1)),1),0),"")</f>
        <v>#REF!</v>
      </c>
      <c r="E651" s="15" t="s">
        <v>65</v>
      </c>
      <c r="F651" s="22" t="e">
        <f>IF(#REF!&gt;=6,IFERROR(D651*_xlfn.SINGLE(_xlfn.XLOOKUP(B651,MA_ARTICULOS!$A:$A,MA_ARTICULOS!$E:$E,0)),""),"")</f>
        <v>#REF!</v>
      </c>
    </row>
    <row r="652" spans="1:6" x14ac:dyDescent="0.3">
      <c r="A652" s="11" t="e">
        <f>IF(#REF!&gt;=6,#REF!,"")</f>
        <v>#REF!</v>
      </c>
      <c r="B652" s="8">
        <v>11020003</v>
      </c>
      <c r="C652" s="8" t="s">
        <v>99</v>
      </c>
      <c r="D652" s="12" t="e">
        <f>IF(#REF!&gt;=6,IFERROR(MAX(0,#REF!)/IFERROR(_xlfn.SINGLE(_xlfn.XLOOKUP(B652,MA_ARTICULOS!$A:$A,MA_ARTICULOS!$E:$E,1)),1),0),"")</f>
        <v>#REF!</v>
      </c>
      <c r="E652" s="15" t="s">
        <v>65</v>
      </c>
      <c r="F652" s="22" t="e">
        <f>IF(#REF!&gt;=6,IFERROR(D652*_xlfn.SINGLE(_xlfn.XLOOKUP(B652,MA_ARTICULOS!$A:$A,MA_ARTICULOS!$E:$E,0)),""),"")</f>
        <v>#REF!</v>
      </c>
    </row>
    <row r="653" spans="1:6" x14ac:dyDescent="0.3">
      <c r="A653" s="11" t="e">
        <f>IF(#REF!&gt;=6,#REF!,"")</f>
        <v>#REF!</v>
      </c>
      <c r="B653" s="8">
        <v>11020004</v>
      </c>
      <c r="C653" s="8" t="s">
        <v>100</v>
      </c>
      <c r="D653" s="12" t="e">
        <f>IF(#REF!&gt;=6,IFERROR(MAX(0,#REF!)/IFERROR(_xlfn.SINGLE(_xlfn.XLOOKUP(B653,MA_ARTICULOS!$A:$A,MA_ARTICULOS!$E:$E,1)),1),0),"")</f>
        <v>#REF!</v>
      </c>
      <c r="E653" s="15" t="s">
        <v>65</v>
      </c>
      <c r="F653" s="22" t="e">
        <f>IF(#REF!&gt;=6,IFERROR(D653*_xlfn.SINGLE(_xlfn.XLOOKUP(B653,MA_ARTICULOS!$A:$A,MA_ARTICULOS!$E:$E,0)),""),"")</f>
        <v>#REF!</v>
      </c>
    </row>
    <row r="654" spans="1:6" x14ac:dyDescent="0.3">
      <c r="A654" s="11" t="e">
        <f>IF(#REF!&gt;=6,#REF!,"")</f>
        <v>#REF!</v>
      </c>
      <c r="B654" s="8">
        <v>11020005</v>
      </c>
      <c r="C654" s="8" t="s">
        <v>101</v>
      </c>
      <c r="D654" s="12" t="e">
        <f>IF(#REF!&gt;=6,IFERROR(MAX(0,#REF!)/IFERROR(_xlfn.SINGLE(_xlfn.XLOOKUP(B654,MA_ARTICULOS!$A:$A,MA_ARTICULOS!$E:$E,1)),1),0),"")</f>
        <v>#REF!</v>
      </c>
      <c r="E654" s="15" t="s">
        <v>65</v>
      </c>
      <c r="F654" s="22" t="e">
        <f>IF(#REF!&gt;=6,IFERROR(D654*_xlfn.SINGLE(_xlfn.XLOOKUP(B654,MA_ARTICULOS!$A:$A,MA_ARTICULOS!$E:$E,0)),""),"")</f>
        <v>#REF!</v>
      </c>
    </row>
    <row r="655" spans="1:6" x14ac:dyDescent="0.3">
      <c r="A655" s="11" t="e">
        <f>IF(#REF!&gt;=6,#REF!,"")</f>
        <v>#REF!</v>
      </c>
      <c r="B655" s="8">
        <v>11020006</v>
      </c>
      <c r="C655" s="8" t="s">
        <v>102</v>
      </c>
      <c r="D655" s="12" t="e">
        <f>IF(#REF!&gt;=6,IFERROR(MAX(0,#REF!)/IFERROR(_xlfn.SINGLE(_xlfn.XLOOKUP(B655,MA_ARTICULOS!$A:$A,MA_ARTICULOS!$E:$E,1)),1),0),"")</f>
        <v>#REF!</v>
      </c>
      <c r="E655" s="15" t="s">
        <v>65</v>
      </c>
      <c r="F655" s="22" t="e">
        <f>IF(#REF!&gt;=6,IFERROR(D655*_xlfn.SINGLE(_xlfn.XLOOKUP(B655,MA_ARTICULOS!$A:$A,MA_ARTICULOS!$E:$E,0)),""),"")</f>
        <v>#REF!</v>
      </c>
    </row>
    <row r="656" spans="1:6" x14ac:dyDescent="0.3">
      <c r="A656" s="11" t="e">
        <f>IF(#REF!&gt;=6,#REF!,"")</f>
        <v>#REF!</v>
      </c>
      <c r="B656" s="8">
        <v>11020007</v>
      </c>
      <c r="C656" s="8" t="s">
        <v>103</v>
      </c>
      <c r="D656" s="12" t="e">
        <f>IF(#REF!&gt;=6,IFERROR(MAX(0,#REF!)/IFERROR(_xlfn.SINGLE(_xlfn.XLOOKUP(B656,MA_ARTICULOS!$A:$A,MA_ARTICULOS!$E:$E,1)),1),0),"")</f>
        <v>#REF!</v>
      </c>
      <c r="E656" s="15" t="s">
        <v>65</v>
      </c>
      <c r="F656" s="22" t="e">
        <f>IF(#REF!&gt;=6,IFERROR(D656*_xlfn.SINGLE(_xlfn.XLOOKUP(B656,MA_ARTICULOS!$A:$A,MA_ARTICULOS!$E:$E,0)),""),"")</f>
        <v>#REF!</v>
      </c>
    </row>
    <row r="657" spans="1:6" x14ac:dyDescent="0.3">
      <c r="A657" s="11" t="e">
        <f>IF(#REF!&gt;=6,#REF!,"")</f>
        <v>#REF!</v>
      </c>
      <c r="B657" s="8">
        <v>11020008</v>
      </c>
      <c r="C657" s="8" t="s">
        <v>104</v>
      </c>
      <c r="D657" s="12" t="e">
        <f>IF(#REF!&gt;=6,IFERROR(MAX(0,#REF!)/IFERROR(_xlfn.SINGLE(_xlfn.XLOOKUP(B657,MA_ARTICULOS!$A:$A,MA_ARTICULOS!$E:$E,1)),1),0),"")</f>
        <v>#REF!</v>
      </c>
      <c r="E657" s="15" t="s">
        <v>65</v>
      </c>
      <c r="F657" s="22" t="e">
        <f>IF(#REF!&gt;=6,IFERROR(D657*_xlfn.SINGLE(_xlfn.XLOOKUP(B657,MA_ARTICULOS!$A:$A,MA_ARTICULOS!$E:$E,0)),""),"")</f>
        <v>#REF!</v>
      </c>
    </row>
    <row r="658" spans="1:6" x14ac:dyDescent="0.3">
      <c r="A658" s="11" t="e">
        <f>IF(#REF!&gt;=6,#REF!,"")</f>
        <v>#REF!</v>
      </c>
      <c r="B658" s="8">
        <v>11020009</v>
      </c>
      <c r="C658" s="8" t="s">
        <v>105</v>
      </c>
      <c r="D658" s="12" t="e">
        <f>IF(#REF!&gt;=6,IFERROR(MAX(0,#REF!)/IFERROR(_xlfn.SINGLE(_xlfn.XLOOKUP(B658,MA_ARTICULOS!$A:$A,MA_ARTICULOS!$E:$E,1)),1),0),"")</f>
        <v>#REF!</v>
      </c>
      <c r="E658" s="15" t="s">
        <v>65</v>
      </c>
      <c r="F658" s="22" t="e">
        <f>IF(#REF!&gt;=6,IFERROR(D658*_xlfn.SINGLE(_xlfn.XLOOKUP(B658,MA_ARTICULOS!$A:$A,MA_ARTICULOS!$E:$E,0)),""),"")</f>
        <v>#REF!</v>
      </c>
    </row>
    <row r="659" spans="1:6" x14ac:dyDescent="0.3">
      <c r="A659" s="11" t="e">
        <f>IF(#REF!&gt;=6,#REF!,"")</f>
        <v>#REF!</v>
      </c>
      <c r="B659" s="8">
        <v>11020010</v>
      </c>
      <c r="C659" s="8" t="s">
        <v>106</v>
      </c>
      <c r="D659" s="12" t="e">
        <f>IF(#REF!&gt;=6,IFERROR(MAX(0,#REF!)/IFERROR(_xlfn.SINGLE(_xlfn.XLOOKUP(B659,MA_ARTICULOS!$A:$A,MA_ARTICULOS!$E:$E,1)),1),0),"")</f>
        <v>#REF!</v>
      </c>
      <c r="E659" s="15" t="s">
        <v>65</v>
      </c>
      <c r="F659" s="22" t="e">
        <f>IF(#REF!&gt;=6,IFERROR(D659*_xlfn.SINGLE(_xlfn.XLOOKUP(B659,MA_ARTICULOS!$A:$A,MA_ARTICULOS!$E:$E,0)),""),"")</f>
        <v>#REF!</v>
      </c>
    </row>
    <row r="660" spans="1:6" x14ac:dyDescent="0.3">
      <c r="A660" s="11" t="e">
        <f>IF(#REF!&gt;=6,#REF!,"")</f>
        <v>#REF!</v>
      </c>
      <c r="B660" s="8">
        <v>11020014</v>
      </c>
      <c r="C660" s="8" t="s">
        <v>107</v>
      </c>
      <c r="D660" s="12" t="e">
        <f>IF(#REF!&gt;=6,IFERROR(MAX(0,#REF!)/IFERROR(_xlfn.SINGLE(_xlfn.XLOOKUP(B660,MA_ARTICULOS!$A:$A,MA_ARTICULOS!$E:$E,1)),1),0),"")</f>
        <v>#REF!</v>
      </c>
      <c r="E660" s="15" t="s">
        <v>65</v>
      </c>
      <c r="F660" s="22" t="e">
        <f>IF(#REF!&gt;=6,IFERROR(D660*_xlfn.SINGLE(_xlfn.XLOOKUP(B660,MA_ARTICULOS!$A:$A,MA_ARTICULOS!$E:$E,0)),""),"")</f>
        <v>#REF!</v>
      </c>
    </row>
    <row r="661" spans="1:6" x14ac:dyDescent="0.3">
      <c r="A661" s="11" t="e">
        <f>IF(#REF!&gt;=6,#REF!,"")</f>
        <v>#REF!</v>
      </c>
      <c r="B661" s="8">
        <v>11020015</v>
      </c>
      <c r="C661" s="8" t="s">
        <v>108</v>
      </c>
      <c r="D661" s="12" t="e">
        <f>IF(#REF!&gt;=6,IFERROR(MAX(0,#REF!)/IFERROR(_xlfn.SINGLE(_xlfn.XLOOKUP(B661,MA_ARTICULOS!$A:$A,MA_ARTICULOS!$E:$E,1)),1),0),"")</f>
        <v>#REF!</v>
      </c>
      <c r="E661" s="15" t="s">
        <v>65</v>
      </c>
      <c r="F661" s="22" t="e">
        <f>IF(#REF!&gt;=6,IFERROR(D661*_xlfn.SINGLE(_xlfn.XLOOKUP(B661,MA_ARTICULOS!$A:$A,MA_ARTICULOS!$E:$E,0)),""),"")</f>
        <v>#REF!</v>
      </c>
    </row>
    <row r="662" spans="1:6" x14ac:dyDescent="0.3">
      <c r="A662" s="11" t="e">
        <f>IF(#REF!&gt;=6,#REF!,"")</f>
        <v>#REF!</v>
      </c>
      <c r="B662" s="8">
        <v>11020016</v>
      </c>
      <c r="C662" s="8" t="s">
        <v>109</v>
      </c>
      <c r="D662" s="12" t="e">
        <f>IF(#REF!&gt;=6,IFERROR(MAX(0,#REF!)/IFERROR(_xlfn.SINGLE(_xlfn.XLOOKUP(B662,MA_ARTICULOS!$A:$A,MA_ARTICULOS!$E:$E,1)),1),0),"")</f>
        <v>#REF!</v>
      </c>
      <c r="E662" s="15" t="s">
        <v>65</v>
      </c>
      <c r="F662" s="22" t="e">
        <f>IF(#REF!&gt;=6,IFERROR(D662*_xlfn.SINGLE(_xlfn.XLOOKUP(B662,MA_ARTICULOS!$A:$A,MA_ARTICULOS!$E:$E,0)),""),"")</f>
        <v>#REF!</v>
      </c>
    </row>
    <row r="663" spans="1:6" x14ac:dyDescent="0.3">
      <c r="A663" s="11" t="e">
        <f>IF(#REF!&gt;=6,#REF!,"")</f>
        <v>#REF!</v>
      </c>
      <c r="B663" s="8">
        <v>12040001</v>
      </c>
      <c r="C663" s="8" t="s">
        <v>110</v>
      </c>
      <c r="D663" s="12" t="e">
        <f>IF(#REF!&gt;=6,IFERROR(MAX(0,#REF!)/IFERROR(_xlfn.SINGLE(_xlfn.XLOOKUP(B663,MA_ARTICULOS!$A:$A,MA_ARTICULOS!$E:$E,1)),1),0),"")</f>
        <v>#REF!</v>
      </c>
      <c r="E663" s="15" t="s">
        <v>65</v>
      </c>
      <c r="F663" s="22" t="e">
        <f>IF(#REF!&gt;=6,IFERROR(D663*_xlfn.SINGLE(_xlfn.XLOOKUP(B663,MA_ARTICULOS!$A:$A,MA_ARTICULOS!$E:$E,0)),""),"")</f>
        <v>#REF!</v>
      </c>
    </row>
    <row r="664" spans="1:6" x14ac:dyDescent="0.3">
      <c r="A664" s="11" t="e">
        <f>IF(#REF!&gt;=6,#REF!,"")</f>
        <v>#REF!</v>
      </c>
      <c r="B664" s="8">
        <v>12040002</v>
      </c>
      <c r="C664" s="8" t="s">
        <v>111</v>
      </c>
      <c r="D664" s="12" t="e">
        <f>IF(#REF!&gt;=6,IFERROR(MAX(0,#REF!)/IFERROR(_xlfn.SINGLE(_xlfn.XLOOKUP(B664,MA_ARTICULOS!$A:$A,MA_ARTICULOS!$E:$E,1)),1),0),"")</f>
        <v>#REF!</v>
      </c>
      <c r="E664" s="15" t="s">
        <v>65</v>
      </c>
      <c r="F664" s="22" t="e">
        <f>IF(#REF!&gt;=6,IFERROR(D664*_xlfn.SINGLE(_xlfn.XLOOKUP(B664,MA_ARTICULOS!$A:$A,MA_ARTICULOS!$E:$E,0)),""),"")</f>
        <v>#REF!</v>
      </c>
    </row>
    <row r="665" spans="1:6" x14ac:dyDescent="0.3">
      <c r="A665" s="11" t="e">
        <f>IF(#REF!&gt;=6,#REF!,"")</f>
        <v>#REF!</v>
      </c>
      <c r="B665" s="8">
        <v>12080001</v>
      </c>
      <c r="C665" s="8" t="s">
        <v>112</v>
      </c>
      <c r="D665" s="12" t="e">
        <f>IF(#REF!&gt;=6,IFERROR(MAX(0,#REF!)/IFERROR(_xlfn.SINGLE(_xlfn.XLOOKUP(B665,MA_ARTICULOS!$A:$A,MA_ARTICULOS!$E:$E,1)),1),0),"")</f>
        <v>#REF!</v>
      </c>
      <c r="E665" s="15" t="s">
        <v>65</v>
      </c>
      <c r="F665" s="22" t="e">
        <f>IF(#REF!&gt;=6,IFERROR(D665*_xlfn.SINGLE(_xlfn.XLOOKUP(B665,MA_ARTICULOS!$A:$A,MA_ARTICULOS!$E:$E,0)),""),"")</f>
        <v>#REF!</v>
      </c>
    </row>
    <row r="666" spans="1:6" x14ac:dyDescent="0.3">
      <c r="A666" s="11" t="e">
        <f>IF(#REF!&gt;=6,#REF!,"")</f>
        <v>#REF!</v>
      </c>
      <c r="B666" s="8">
        <v>12080002</v>
      </c>
      <c r="C666" s="8" t="s">
        <v>113</v>
      </c>
      <c r="D666" s="12" t="e">
        <f>IF(#REF!&gt;=6,IFERROR(MAX(0,#REF!)/IFERROR(_xlfn.SINGLE(_xlfn.XLOOKUP(B666,MA_ARTICULOS!$A:$A,MA_ARTICULOS!$E:$E,1)),1),0),"")</f>
        <v>#REF!</v>
      </c>
      <c r="E666" s="15" t="s">
        <v>65</v>
      </c>
      <c r="F666" s="22" t="e">
        <f>IF(#REF!&gt;=6,IFERROR(D666*_xlfn.SINGLE(_xlfn.XLOOKUP(B666,MA_ARTICULOS!$A:$A,MA_ARTICULOS!$E:$E,0)),""),"")</f>
        <v>#REF!</v>
      </c>
    </row>
    <row r="667" spans="1:6" x14ac:dyDescent="0.3">
      <c r="A667" s="11" t="e">
        <f>IF(#REF!&gt;=6,#REF!,"")</f>
        <v>#REF!</v>
      </c>
      <c r="B667" s="8">
        <v>12080003</v>
      </c>
      <c r="C667" s="8" t="s">
        <v>114</v>
      </c>
      <c r="D667" s="12" t="e">
        <f>IF(#REF!&gt;=6,IFERROR(MAX(0,#REF!)/IFERROR(_xlfn.SINGLE(_xlfn.XLOOKUP(B667,MA_ARTICULOS!$A:$A,MA_ARTICULOS!$E:$E,1)),1),0),"")</f>
        <v>#REF!</v>
      </c>
      <c r="E667" s="15" t="s">
        <v>65</v>
      </c>
      <c r="F667" s="22" t="e">
        <f>IF(#REF!&gt;=6,IFERROR(D667*_xlfn.SINGLE(_xlfn.XLOOKUP(B667,MA_ARTICULOS!$A:$A,MA_ARTICULOS!$E:$E,0)),""),"")</f>
        <v>#REF!</v>
      </c>
    </row>
    <row r="668" spans="1:6" x14ac:dyDescent="0.3">
      <c r="A668" s="11" t="e">
        <f>IF(#REF!&gt;=6,#REF!,"")</f>
        <v>#REF!</v>
      </c>
      <c r="B668" s="8">
        <v>13010007</v>
      </c>
      <c r="C668" s="8" t="s">
        <v>115</v>
      </c>
      <c r="D668" s="12" t="e">
        <f>IF(#REF!&gt;=6,IFERROR(MAX(0,#REF!)/IFERROR(_xlfn.SINGLE(_xlfn.XLOOKUP(B668,MA_ARTICULOS!$A:$A,MA_ARTICULOS!$E:$E,1)),1),0),"")</f>
        <v>#REF!</v>
      </c>
      <c r="E668" s="15" t="s">
        <v>65</v>
      </c>
      <c r="F668" s="22" t="e">
        <f>IF(#REF!&gt;=6,IFERROR(D668*_xlfn.SINGLE(_xlfn.XLOOKUP(B668,MA_ARTICULOS!$A:$A,MA_ARTICULOS!$E:$E,0)),""),"")</f>
        <v>#REF!</v>
      </c>
    </row>
    <row r="669" spans="1:6" x14ac:dyDescent="0.3">
      <c r="A669" s="11" t="e">
        <f>IF(#REF!&gt;=6,#REF!,"")</f>
        <v>#REF!</v>
      </c>
      <c r="B669" s="8">
        <v>13010008</v>
      </c>
      <c r="C669" s="8" t="s">
        <v>116</v>
      </c>
      <c r="D669" s="12" t="e">
        <f>IF(#REF!&gt;=6,IFERROR(MAX(0,#REF!)/IFERROR(_xlfn.SINGLE(_xlfn.XLOOKUP(B669,MA_ARTICULOS!$A:$A,MA_ARTICULOS!$E:$E,1)),1),0),"")</f>
        <v>#REF!</v>
      </c>
      <c r="E669" s="15" t="s">
        <v>65</v>
      </c>
      <c r="F669" s="22" t="e">
        <f>IF(#REF!&gt;=6,IFERROR(D669*_xlfn.SINGLE(_xlfn.XLOOKUP(B669,MA_ARTICULOS!$A:$A,MA_ARTICULOS!$E:$E,0)),""),"")</f>
        <v>#REF!</v>
      </c>
    </row>
    <row r="670" spans="1:6" x14ac:dyDescent="0.3">
      <c r="A670" s="11" t="e">
        <f>IF(#REF!&gt;=6,#REF!,"")</f>
        <v>#REF!</v>
      </c>
      <c r="B670" s="8">
        <v>13019001</v>
      </c>
      <c r="C670" s="8" t="s">
        <v>117</v>
      </c>
      <c r="D670" s="12" t="e">
        <f>IF(#REF!&gt;=6,IFERROR(MAX(0,#REF!)/IFERROR(_xlfn.SINGLE(_xlfn.XLOOKUP(B670,MA_ARTICULOS!$A:$A,MA_ARTICULOS!$E:$E,1)),1),0),"")</f>
        <v>#REF!</v>
      </c>
      <c r="E670" s="15" t="s">
        <v>65</v>
      </c>
      <c r="F670" s="22" t="e">
        <f>IF(#REF!&gt;=6,IFERROR(D670*_xlfn.SINGLE(_xlfn.XLOOKUP(B670,MA_ARTICULOS!$A:$A,MA_ARTICULOS!$E:$E,0)),""),"")</f>
        <v>#REF!</v>
      </c>
    </row>
    <row r="671" spans="1:6" x14ac:dyDescent="0.3">
      <c r="A671" s="11" t="e">
        <f>IF(#REF!&gt;=6,#REF!,"")</f>
        <v>#REF!</v>
      </c>
      <c r="B671" s="8">
        <v>13019002</v>
      </c>
      <c r="C671" s="8" t="s">
        <v>118</v>
      </c>
      <c r="D671" s="12" t="e">
        <f>IF(#REF!&gt;=6,IFERROR(MAX(0,#REF!)/IFERROR(_xlfn.SINGLE(_xlfn.XLOOKUP(B671,MA_ARTICULOS!$A:$A,MA_ARTICULOS!$E:$E,1)),1),0),"")</f>
        <v>#REF!</v>
      </c>
      <c r="E671" s="15" t="s">
        <v>65</v>
      </c>
      <c r="F671" s="22" t="e">
        <f>IF(#REF!&gt;=6,IFERROR(D671*_xlfn.SINGLE(_xlfn.XLOOKUP(B671,MA_ARTICULOS!$A:$A,MA_ARTICULOS!$E:$E,0)),""),"")</f>
        <v>#REF!</v>
      </c>
    </row>
    <row r="672" spans="1:6" x14ac:dyDescent="0.3">
      <c r="A672" s="11" t="e">
        <f>IF(#REF!&gt;=6,#REF!,"")</f>
        <v>#REF!</v>
      </c>
      <c r="B672" s="8">
        <v>13019003</v>
      </c>
      <c r="C672" s="8" t="s">
        <v>119</v>
      </c>
      <c r="D672" s="12" t="e">
        <f>IF(#REF!&gt;=6,IFERROR(MAX(0,#REF!)/IFERROR(_xlfn.SINGLE(_xlfn.XLOOKUP(B672,MA_ARTICULOS!$A:$A,MA_ARTICULOS!$E:$E,1)),1),0),"")</f>
        <v>#REF!</v>
      </c>
      <c r="E672" s="15" t="s">
        <v>65</v>
      </c>
      <c r="F672" s="22" t="e">
        <f>IF(#REF!&gt;=6,IFERROR(D672*_xlfn.SINGLE(_xlfn.XLOOKUP(B672,MA_ARTICULOS!$A:$A,MA_ARTICULOS!$E:$E,0)),""),"")</f>
        <v>#REF!</v>
      </c>
    </row>
    <row r="673" spans="1:6" x14ac:dyDescent="0.3">
      <c r="A673" s="11" t="e">
        <f>IF(#REF!&gt;=6,#REF!,"")</f>
        <v>#REF!</v>
      </c>
      <c r="B673" s="8">
        <v>13019004</v>
      </c>
      <c r="C673" s="8" t="s">
        <v>120</v>
      </c>
      <c r="D673" s="12" t="e">
        <f>IF(#REF!&gt;=6,IFERROR(MAX(0,#REF!)/IFERROR(_xlfn.SINGLE(_xlfn.XLOOKUP(B673,MA_ARTICULOS!$A:$A,MA_ARTICULOS!$E:$E,1)),1),0),"")</f>
        <v>#REF!</v>
      </c>
      <c r="E673" s="15" t="s">
        <v>65</v>
      </c>
      <c r="F673" s="22" t="e">
        <f>IF(#REF!&gt;=6,IFERROR(D673*_xlfn.SINGLE(_xlfn.XLOOKUP(B673,MA_ARTICULOS!$A:$A,MA_ARTICULOS!$E:$E,0)),""),"")</f>
        <v>#REF!</v>
      </c>
    </row>
    <row r="674" spans="1:6" x14ac:dyDescent="0.3">
      <c r="A674" s="11" t="e">
        <f>IF(#REF!&gt;=6,#REF!,"")</f>
        <v>#REF!</v>
      </c>
      <c r="B674" s="8">
        <v>13019005</v>
      </c>
      <c r="C674" s="8" t="s">
        <v>121</v>
      </c>
      <c r="D674" s="12" t="e">
        <f>IF(#REF!&gt;=6,IFERROR(MAX(0,#REF!)/IFERROR(_xlfn.SINGLE(_xlfn.XLOOKUP(B674,MA_ARTICULOS!$A:$A,MA_ARTICULOS!$E:$E,1)),1),0),"")</f>
        <v>#REF!</v>
      </c>
      <c r="E674" s="15" t="s">
        <v>65</v>
      </c>
      <c r="F674" s="22" t="e">
        <f>IF(#REF!&gt;=6,IFERROR(D674*_xlfn.SINGLE(_xlfn.XLOOKUP(B674,MA_ARTICULOS!$A:$A,MA_ARTICULOS!$E:$E,0)),""),"")</f>
        <v>#REF!</v>
      </c>
    </row>
    <row r="675" spans="1:6" x14ac:dyDescent="0.3">
      <c r="A675" s="11" t="e">
        <f>IF(#REF!&gt;=6,#REF!,"")</f>
        <v>#REF!</v>
      </c>
      <c r="B675" s="8">
        <v>13019007</v>
      </c>
      <c r="C675" s="8" t="s">
        <v>122</v>
      </c>
      <c r="D675" s="12" t="e">
        <f>IF(#REF!&gt;=6,IFERROR(MAX(0,#REF!)/IFERROR(_xlfn.SINGLE(_xlfn.XLOOKUP(B675,MA_ARTICULOS!$A:$A,MA_ARTICULOS!$E:$E,1)),1),0),"")</f>
        <v>#REF!</v>
      </c>
      <c r="E675" s="15" t="s">
        <v>65</v>
      </c>
      <c r="F675" s="22" t="e">
        <f>IF(#REF!&gt;=6,IFERROR(D675*_xlfn.SINGLE(_xlfn.XLOOKUP(B675,MA_ARTICULOS!$A:$A,MA_ARTICULOS!$E:$E,0)),""),"")</f>
        <v>#REF!</v>
      </c>
    </row>
    <row r="676" spans="1:6" x14ac:dyDescent="0.3">
      <c r="A676" s="11" t="e">
        <f>IF(#REF!&gt;=6,#REF!,"")</f>
        <v>#REF!</v>
      </c>
      <c r="B676" s="8">
        <v>13019008</v>
      </c>
      <c r="C676" s="8" t="s">
        <v>123</v>
      </c>
      <c r="D676" s="12" t="e">
        <f>IF(#REF!&gt;=6,IFERROR(MAX(0,#REF!)/IFERROR(_xlfn.SINGLE(_xlfn.XLOOKUP(B676,MA_ARTICULOS!$A:$A,MA_ARTICULOS!$E:$E,1)),1),0),"")</f>
        <v>#REF!</v>
      </c>
      <c r="E676" s="15" t="s">
        <v>65</v>
      </c>
      <c r="F676" s="22" t="e">
        <f>IF(#REF!&gt;=6,IFERROR(D676*_xlfn.SINGLE(_xlfn.XLOOKUP(B676,MA_ARTICULOS!$A:$A,MA_ARTICULOS!$E:$E,0)),""),"")</f>
        <v>#REF!</v>
      </c>
    </row>
    <row r="677" spans="1:6" x14ac:dyDescent="0.3">
      <c r="A677" s="11" t="e">
        <f>IF(#REF!&gt;=6,#REF!,"")</f>
        <v>#REF!</v>
      </c>
      <c r="B677" s="8">
        <v>13020004</v>
      </c>
      <c r="C677" s="8" t="s">
        <v>124</v>
      </c>
      <c r="D677" s="12" t="e">
        <f>IF(#REF!&gt;=6,IFERROR(MAX(0,#REF!)/IFERROR(_xlfn.SINGLE(_xlfn.XLOOKUP(B677,MA_ARTICULOS!$A:$A,MA_ARTICULOS!$E:$E,1)),1),0),"")</f>
        <v>#REF!</v>
      </c>
      <c r="E677" s="15" t="s">
        <v>65</v>
      </c>
      <c r="F677" s="22" t="e">
        <f>IF(#REF!&gt;=6,IFERROR(D677*_xlfn.SINGLE(_xlfn.XLOOKUP(B677,MA_ARTICULOS!$A:$A,MA_ARTICULOS!$E:$E,0)),""),"")</f>
        <v>#REF!</v>
      </c>
    </row>
    <row r="678" spans="1:6" x14ac:dyDescent="0.3">
      <c r="A678" s="11" t="e">
        <f>IF(#REF!&gt;=6,#REF!,"")</f>
        <v>#REF!</v>
      </c>
      <c r="B678" s="8">
        <v>13020005</v>
      </c>
      <c r="C678" s="8" t="s">
        <v>125</v>
      </c>
      <c r="D678" s="12" t="e">
        <f>IF(#REF!&gt;=6,IFERROR(MAX(0,#REF!)/IFERROR(_xlfn.SINGLE(_xlfn.XLOOKUP(B678,MA_ARTICULOS!$A:$A,MA_ARTICULOS!$E:$E,1)),1),0),"")</f>
        <v>#REF!</v>
      </c>
      <c r="E678" s="15" t="s">
        <v>65</v>
      </c>
      <c r="F678" s="22" t="e">
        <f>IF(#REF!&gt;=6,IFERROR(D678*_xlfn.SINGLE(_xlfn.XLOOKUP(B678,MA_ARTICULOS!$A:$A,MA_ARTICULOS!$E:$E,0)),""),"")</f>
        <v>#REF!</v>
      </c>
    </row>
    <row r="679" spans="1:6" x14ac:dyDescent="0.3">
      <c r="A679" s="11" t="e">
        <f>IF(#REF!&gt;=6,#REF!,"")</f>
        <v>#REF!</v>
      </c>
      <c r="B679" s="8">
        <v>13040001</v>
      </c>
      <c r="C679" s="8" t="s">
        <v>126</v>
      </c>
      <c r="D679" s="12" t="e">
        <f>IF(#REF!&gt;=6,IFERROR(MAX(0,#REF!)/IFERROR(_xlfn.SINGLE(_xlfn.XLOOKUP(B679,MA_ARTICULOS!$A:$A,MA_ARTICULOS!$E:$E,1)),1),0),"")</f>
        <v>#REF!</v>
      </c>
      <c r="E679" s="15" t="s">
        <v>65</v>
      </c>
      <c r="F679" s="22" t="e">
        <f>IF(#REF!&gt;=6,IFERROR(D679*_xlfn.SINGLE(_xlfn.XLOOKUP(B679,MA_ARTICULOS!$A:$A,MA_ARTICULOS!$E:$E,0)),""),"")</f>
        <v>#REF!</v>
      </c>
    </row>
    <row r="680" spans="1:6" x14ac:dyDescent="0.3">
      <c r="A680" s="11" t="e">
        <f>IF(#REF!&gt;=6,#REF!,"")</f>
        <v>#REF!</v>
      </c>
      <c r="B680" s="8">
        <v>13040002</v>
      </c>
      <c r="C680" s="8" t="s">
        <v>127</v>
      </c>
      <c r="D680" s="12" t="e">
        <f>IF(#REF!&gt;=6,IFERROR(MAX(0,#REF!)/IFERROR(_xlfn.SINGLE(_xlfn.XLOOKUP(B680,MA_ARTICULOS!$A:$A,MA_ARTICULOS!$E:$E,1)),1),0),"")</f>
        <v>#REF!</v>
      </c>
      <c r="E680" s="15" t="s">
        <v>65</v>
      </c>
      <c r="F680" s="22" t="e">
        <f>IF(#REF!&gt;=6,IFERROR(D680*_xlfn.SINGLE(_xlfn.XLOOKUP(B680,MA_ARTICULOS!$A:$A,MA_ARTICULOS!$E:$E,0)),""),"")</f>
        <v>#REF!</v>
      </c>
    </row>
    <row r="681" spans="1:6" x14ac:dyDescent="0.3">
      <c r="A681" s="11" t="e">
        <f>IF(#REF!&gt;=6,#REF!,"")</f>
        <v>#REF!</v>
      </c>
      <c r="B681" s="8">
        <v>13040003</v>
      </c>
      <c r="C681" s="8" t="s">
        <v>128</v>
      </c>
      <c r="D681" s="12" t="e">
        <f>IF(#REF!&gt;=6,IFERROR(MAX(0,#REF!)/IFERROR(_xlfn.SINGLE(_xlfn.XLOOKUP(B681,MA_ARTICULOS!$A:$A,MA_ARTICULOS!$E:$E,1)),1),0),"")</f>
        <v>#REF!</v>
      </c>
      <c r="E681" s="15" t="s">
        <v>65</v>
      </c>
      <c r="F681" s="22" t="e">
        <f>IF(#REF!&gt;=6,IFERROR(D681*_xlfn.SINGLE(_xlfn.XLOOKUP(B681,MA_ARTICULOS!$A:$A,MA_ARTICULOS!$E:$E,0)),""),"")</f>
        <v>#REF!</v>
      </c>
    </row>
    <row r="682" spans="1:6" x14ac:dyDescent="0.3">
      <c r="A682" s="11" t="e">
        <f>IF(#REF!&gt;=6,#REF!,"")</f>
        <v>#REF!</v>
      </c>
      <c r="B682" s="8">
        <v>13040004</v>
      </c>
      <c r="C682" s="8" t="s">
        <v>129</v>
      </c>
      <c r="D682" s="12" t="e">
        <f>IF(#REF!&gt;=6,IFERROR(MAX(0,#REF!)/IFERROR(_xlfn.SINGLE(_xlfn.XLOOKUP(B682,MA_ARTICULOS!$A:$A,MA_ARTICULOS!$E:$E,1)),1),0),"")</f>
        <v>#REF!</v>
      </c>
      <c r="E682" s="15" t="s">
        <v>65</v>
      </c>
      <c r="F682" s="22" t="e">
        <f>IF(#REF!&gt;=6,IFERROR(D682*_xlfn.SINGLE(_xlfn.XLOOKUP(B682,MA_ARTICULOS!$A:$A,MA_ARTICULOS!$E:$E,0)),""),"")</f>
        <v>#REF!</v>
      </c>
    </row>
    <row r="683" spans="1:6" x14ac:dyDescent="0.3">
      <c r="A683" s="11" t="e">
        <f>IF(#REF!&gt;=6,#REF!,"")</f>
        <v>#REF!</v>
      </c>
      <c r="B683" s="8">
        <v>13040005</v>
      </c>
      <c r="C683" s="8" t="s">
        <v>130</v>
      </c>
      <c r="D683" s="12" t="e">
        <f>IF(#REF!&gt;=6,IFERROR(MAX(0,#REF!)/IFERROR(_xlfn.SINGLE(_xlfn.XLOOKUP(B683,MA_ARTICULOS!$A:$A,MA_ARTICULOS!$E:$E,1)),1),0),"")</f>
        <v>#REF!</v>
      </c>
      <c r="E683" s="15" t="s">
        <v>65</v>
      </c>
      <c r="F683" s="22" t="e">
        <f>IF(#REF!&gt;=6,IFERROR(D683*_xlfn.SINGLE(_xlfn.XLOOKUP(B683,MA_ARTICULOS!$A:$A,MA_ARTICULOS!$E:$E,0)),""),"")</f>
        <v>#REF!</v>
      </c>
    </row>
    <row r="684" spans="1:6" x14ac:dyDescent="0.3">
      <c r="A684" s="11" t="e">
        <f>IF(#REF!&gt;=6,#REF!,"")</f>
        <v>#REF!</v>
      </c>
      <c r="B684" s="8">
        <v>13040006</v>
      </c>
      <c r="C684" s="8" t="s">
        <v>131</v>
      </c>
      <c r="D684" s="12" t="e">
        <f>IF(#REF!&gt;=6,IFERROR(MAX(0,#REF!)/IFERROR(_xlfn.SINGLE(_xlfn.XLOOKUP(B684,MA_ARTICULOS!$A:$A,MA_ARTICULOS!$E:$E,1)),1),0),"")</f>
        <v>#REF!</v>
      </c>
      <c r="E684" s="15" t="s">
        <v>65</v>
      </c>
      <c r="F684" s="22" t="e">
        <f>IF(#REF!&gt;=6,IFERROR(D684*_xlfn.SINGLE(_xlfn.XLOOKUP(B684,MA_ARTICULOS!$A:$A,MA_ARTICULOS!$E:$E,0)),""),"")</f>
        <v>#REF!</v>
      </c>
    </row>
    <row r="685" spans="1:6" x14ac:dyDescent="0.3">
      <c r="A685" s="11" t="e">
        <f>IF(#REF!&gt;=6,#REF!,"")</f>
        <v>#REF!</v>
      </c>
      <c r="B685" s="8">
        <v>13040007</v>
      </c>
      <c r="C685" s="8" t="s">
        <v>132</v>
      </c>
      <c r="D685" s="12" t="e">
        <f>IF(#REF!&gt;=6,IFERROR(MAX(0,#REF!)/IFERROR(_xlfn.SINGLE(_xlfn.XLOOKUP(B685,MA_ARTICULOS!$A:$A,MA_ARTICULOS!$E:$E,1)),1),0),"")</f>
        <v>#REF!</v>
      </c>
      <c r="E685" s="15" t="s">
        <v>65</v>
      </c>
      <c r="F685" s="22" t="e">
        <f>IF(#REF!&gt;=6,IFERROR(D685*_xlfn.SINGLE(_xlfn.XLOOKUP(B685,MA_ARTICULOS!$A:$A,MA_ARTICULOS!$E:$E,0)),""),"")</f>
        <v>#REF!</v>
      </c>
    </row>
    <row r="686" spans="1:6" x14ac:dyDescent="0.3">
      <c r="A686" s="11" t="e">
        <f>IF(#REF!&gt;=6,#REF!,"")</f>
        <v>#REF!</v>
      </c>
      <c r="B686" s="8">
        <v>13040008</v>
      </c>
      <c r="C686" s="8" t="s">
        <v>133</v>
      </c>
      <c r="D686" s="12" t="e">
        <f>IF(#REF!&gt;=6,IFERROR(MAX(0,#REF!)/IFERROR(_xlfn.SINGLE(_xlfn.XLOOKUP(B686,MA_ARTICULOS!$A:$A,MA_ARTICULOS!$E:$E,1)),1),0),"")</f>
        <v>#REF!</v>
      </c>
      <c r="E686" s="15" t="s">
        <v>65</v>
      </c>
      <c r="F686" s="22" t="e">
        <f>IF(#REF!&gt;=6,IFERROR(D686*_xlfn.SINGLE(_xlfn.XLOOKUP(B686,MA_ARTICULOS!$A:$A,MA_ARTICULOS!$E:$E,0)),""),"")</f>
        <v>#REF!</v>
      </c>
    </row>
    <row r="687" spans="1:6" x14ac:dyDescent="0.3">
      <c r="A687" s="11" t="e">
        <f>IF(#REF!&gt;=6,#REF!,"")</f>
        <v>#REF!</v>
      </c>
      <c r="B687" s="8">
        <v>13040009</v>
      </c>
      <c r="C687" s="8" t="s">
        <v>134</v>
      </c>
      <c r="D687" s="12" t="e">
        <f>IF(#REF!&gt;=6,IFERROR(MAX(0,#REF!)/IFERROR(_xlfn.SINGLE(_xlfn.XLOOKUP(B687,MA_ARTICULOS!$A:$A,MA_ARTICULOS!$E:$E,1)),1),0),"")</f>
        <v>#REF!</v>
      </c>
      <c r="E687" s="15" t="s">
        <v>65</v>
      </c>
      <c r="F687" s="22" t="e">
        <f>IF(#REF!&gt;=6,IFERROR(D687*_xlfn.SINGLE(_xlfn.XLOOKUP(B687,MA_ARTICULOS!$A:$A,MA_ARTICULOS!$E:$E,0)),""),"")</f>
        <v>#REF!</v>
      </c>
    </row>
    <row r="688" spans="1:6" x14ac:dyDescent="0.3">
      <c r="A688" s="11" t="e">
        <f>IF(#REF!&gt;=6,#REF!,"")</f>
        <v>#REF!</v>
      </c>
      <c r="B688" s="8">
        <v>13040010</v>
      </c>
      <c r="C688" s="8" t="s">
        <v>135</v>
      </c>
      <c r="D688" s="12" t="e">
        <f>IF(#REF!&gt;=6,IFERROR(MAX(0,#REF!)/IFERROR(_xlfn.SINGLE(_xlfn.XLOOKUP(B688,MA_ARTICULOS!$A:$A,MA_ARTICULOS!$E:$E,1)),1),0),"")</f>
        <v>#REF!</v>
      </c>
      <c r="E688" s="15" t="s">
        <v>65</v>
      </c>
      <c r="F688" s="22" t="e">
        <f>IF(#REF!&gt;=6,IFERROR(D688*_xlfn.SINGLE(_xlfn.XLOOKUP(B688,MA_ARTICULOS!$A:$A,MA_ARTICULOS!$E:$E,0)),""),"")</f>
        <v>#REF!</v>
      </c>
    </row>
    <row r="689" spans="1:6" x14ac:dyDescent="0.3">
      <c r="A689" s="11" t="e">
        <f>IF(#REF!&gt;=6,#REF!,"")</f>
        <v>#REF!</v>
      </c>
      <c r="B689" s="8">
        <v>13040011</v>
      </c>
      <c r="C689" s="8" t="s">
        <v>136</v>
      </c>
      <c r="D689" s="12" t="e">
        <f>IF(#REF!&gt;=6,IFERROR(MAX(0,#REF!)/IFERROR(_xlfn.SINGLE(_xlfn.XLOOKUP(B689,MA_ARTICULOS!$A:$A,MA_ARTICULOS!$E:$E,1)),1),0),"")</f>
        <v>#REF!</v>
      </c>
      <c r="E689" s="15" t="s">
        <v>65</v>
      </c>
      <c r="F689" s="22" t="e">
        <f>IF(#REF!&gt;=6,IFERROR(D689*_xlfn.SINGLE(_xlfn.XLOOKUP(B689,MA_ARTICULOS!$A:$A,MA_ARTICULOS!$E:$E,0)),""),"")</f>
        <v>#REF!</v>
      </c>
    </row>
    <row r="690" spans="1:6" x14ac:dyDescent="0.3">
      <c r="A690" s="11" t="e">
        <f>IF(#REF!&gt;=6,#REF!,"")</f>
        <v>#REF!</v>
      </c>
      <c r="B690" s="8">
        <v>13040012</v>
      </c>
      <c r="C690" s="8" t="s">
        <v>137</v>
      </c>
      <c r="D690" s="12" t="e">
        <f>IF(#REF!&gt;=6,IFERROR(MAX(0,#REF!)/IFERROR(_xlfn.SINGLE(_xlfn.XLOOKUP(B690,MA_ARTICULOS!$A:$A,MA_ARTICULOS!$E:$E,1)),1),0),"")</f>
        <v>#REF!</v>
      </c>
      <c r="E690" s="15" t="s">
        <v>65</v>
      </c>
      <c r="F690" s="22" t="e">
        <f>IF(#REF!&gt;=6,IFERROR(D690*_xlfn.SINGLE(_xlfn.XLOOKUP(B690,MA_ARTICULOS!$A:$A,MA_ARTICULOS!$E:$E,0)),""),"")</f>
        <v>#REF!</v>
      </c>
    </row>
    <row r="691" spans="1:6" x14ac:dyDescent="0.3">
      <c r="A691" s="11" t="e">
        <f>IF(#REF!&gt;=6,#REF!,"")</f>
        <v>#REF!</v>
      </c>
      <c r="B691" s="8">
        <v>13040013</v>
      </c>
      <c r="C691" s="8" t="s">
        <v>138</v>
      </c>
      <c r="D691" s="12" t="e">
        <f>IF(#REF!&gt;=6,IFERROR(MAX(0,#REF!)/IFERROR(_xlfn.SINGLE(_xlfn.XLOOKUP(B691,MA_ARTICULOS!$A:$A,MA_ARTICULOS!$E:$E,1)),1),0),"")</f>
        <v>#REF!</v>
      </c>
      <c r="E691" s="15" t="s">
        <v>65</v>
      </c>
      <c r="F691" s="22" t="e">
        <f>IF(#REF!&gt;=6,IFERROR(D691*_xlfn.SINGLE(_xlfn.XLOOKUP(B691,MA_ARTICULOS!$A:$A,MA_ARTICULOS!$E:$E,0)),""),"")</f>
        <v>#REF!</v>
      </c>
    </row>
    <row r="692" spans="1:6" x14ac:dyDescent="0.3">
      <c r="A692" s="11" t="e">
        <f>IF(#REF!&gt;=6,#REF!,"")</f>
        <v>#REF!</v>
      </c>
      <c r="B692" s="8">
        <v>13040014</v>
      </c>
      <c r="C692" s="8" t="s">
        <v>139</v>
      </c>
      <c r="D692" s="12" t="e">
        <f>IF(#REF!&gt;=6,IFERROR(MAX(0,#REF!)/IFERROR(_xlfn.SINGLE(_xlfn.XLOOKUP(B692,MA_ARTICULOS!$A:$A,MA_ARTICULOS!$E:$E,1)),1),0),"")</f>
        <v>#REF!</v>
      </c>
      <c r="E692" s="15" t="s">
        <v>65</v>
      </c>
      <c r="F692" s="22" t="e">
        <f>IF(#REF!&gt;=6,IFERROR(D692*_xlfn.SINGLE(_xlfn.XLOOKUP(B692,MA_ARTICULOS!$A:$A,MA_ARTICULOS!$E:$E,0)),""),"")</f>
        <v>#REF!</v>
      </c>
    </row>
    <row r="693" spans="1:6" x14ac:dyDescent="0.3">
      <c r="A693" s="11" t="e">
        <f>IF(#REF!&gt;=6,#REF!,"")</f>
        <v>#REF!</v>
      </c>
      <c r="B693" s="8">
        <v>13040015</v>
      </c>
      <c r="C693" s="8" t="s">
        <v>140</v>
      </c>
      <c r="D693" s="12" t="e">
        <f>IF(#REF!&gt;=6,IFERROR(MAX(0,#REF!)/IFERROR(_xlfn.SINGLE(_xlfn.XLOOKUP(B693,MA_ARTICULOS!$A:$A,MA_ARTICULOS!$E:$E,1)),1),0),"")</f>
        <v>#REF!</v>
      </c>
      <c r="E693" s="15" t="s">
        <v>65</v>
      </c>
      <c r="F693" s="22" t="e">
        <f>IF(#REF!&gt;=6,IFERROR(D693*_xlfn.SINGLE(_xlfn.XLOOKUP(B693,MA_ARTICULOS!$A:$A,MA_ARTICULOS!$E:$E,0)),""),"")</f>
        <v>#REF!</v>
      </c>
    </row>
    <row r="694" spans="1:6" x14ac:dyDescent="0.3">
      <c r="A694" s="11" t="e">
        <f>IF(#REF!&gt;=6,#REF!,"")</f>
        <v>#REF!</v>
      </c>
      <c r="B694" s="8">
        <v>13040016</v>
      </c>
      <c r="C694" s="8" t="s">
        <v>141</v>
      </c>
      <c r="D694" s="12" t="e">
        <f>IF(#REF!&gt;=6,IFERROR(MAX(0,#REF!)/IFERROR(_xlfn.SINGLE(_xlfn.XLOOKUP(B694,MA_ARTICULOS!$A:$A,MA_ARTICULOS!$E:$E,1)),1),0),"")</f>
        <v>#REF!</v>
      </c>
      <c r="E694" s="15" t="s">
        <v>65</v>
      </c>
      <c r="F694" s="22" t="e">
        <f>IF(#REF!&gt;=6,IFERROR(D694*_xlfn.SINGLE(_xlfn.XLOOKUP(B694,MA_ARTICULOS!$A:$A,MA_ARTICULOS!$E:$E,0)),""),"")</f>
        <v>#REF!</v>
      </c>
    </row>
    <row r="695" spans="1:6" x14ac:dyDescent="0.3">
      <c r="A695" s="11" t="e">
        <f>IF(#REF!&gt;=6,#REF!,"")</f>
        <v>#REF!</v>
      </c>
      <c r="B695" s="8">
        <v>13040017</v>
      </c>
      <c r="C695" s="8" t="s">
        <v>142</v>
      </c>
      <c r="D695" s="12" t="e">
        <f>IF(#REF!&gt;=6,IFERROR(MAX(0,#REF!)/IFERROR(_xlfn.SINGLE(_xlfn.XLOOKUP(B695,MA_ARTICULOS!$A:$A,MA_ARTICULOS!$E:$E,1)),1),0),"")</f>
        <v>#REF!</v>
      </c>
      <c r="E695" s="15" t="s">
        <v>65</v>
      </c>
      <c r="F695" s="22" t="e">
        <f>IF(#REF!&gt;=6,IFERROR(D695*_xlfn.SINGLE(_xlfn.XLOOKUP(B695,MA_ARTICULOS!$A:$A,MA_ARTICULOS!$E:$E,0)),""),"")</f>
        <v>#REF!</v>
      </c>
    </row>
    <row r="696" spans="1:6" x14ac:dyDescent="0.3">
      <c r="A696" s="11" t="e">
        <f>IF(#REF!&gt;=6,#REF!,"")</f>
        <v>#REF!</v>
      </c>
      <c r="B696" s="8">
        <v>13040018</v>
      </c>
      <c r="C696" s="8" t="s">
        <v>143</v>
      </c>
      <c r="D696" s="12" t="e">
        <f>IF(#REF!&gt;=6,IFERROR(MAX(0,#REF!)/IFERROR(_xlfn.SINGLE(_xlfn.XLOOKUP(B696,MA_ARTICULOS!$A:$A,MA_ARTICULOS!$E:$E,1)),1),0),"")</f>
        <v>#REF!</v>
      </c>
      <c r="E696" s="15" t="s">
        <v>65</v>
      </c>
      <c r="F696" s="22" t="e">
        <f>IF(#REF!&gt;=6,IFERROR(D696*_xlfn.SINGLE(_xlfn.XLOOKUP(B696,MA_ARTICULOS!$A:$A,MA_ARTICULOS!$E:$E,0)),""),"")</f>
        <v>#REF!</v>
      </c>
    </row>
    <row r="697" spans="1:6" x14ac:dyDescent="0.3">
      <c r="A697" s="11" t="e">
        <f>IF(#REF!&gt;=6,#REF!,"")</f>
        <v>#REF!</v>
      </c>
      <c r="B697" s="8">
        <v>13040101</v>
      </c>
      <c r="C697" s="8" t="s">
        <v>144</v>
      </c>
      <c r="D697" s="12" t="e">
        <f>IF(#REF!&gt;=6,IFERROR(MAX(0,#REF!)/IFERROR(_xlfn.SINGLE(_xlfn.XLOOKUP(B697,MA_ARTICULOS!$A:$A,MA_ARTICULOS!$E:$E,1)),1),0),"")</f>
        <v>#REF!</v>
      </c>
      <c r="E697" s="15" t="s">
        <v>65</v>
      </c>
      <c r="F697" s="22" t="e">
        <f>IF(#REF!&gt;=6,IFERROR(D697*_xlfn.SINGLE(_xlfn.XLOOKUP(B697,MA_ARTICULOS!$A:$A,MA_ARTICULOS!$E:$E,0)),""),"")</f>
        <v>#REF!</v>
      </c>
    </row>
    <row r="698" spans="1:6" x14ac:dyDescent="0.3">
      <c r="A698" s="11" t="e">
        <f>IF(#REF!&gt;=6,#REF!,"")</f>
        <v>#REF!</v>
      </c>
      <c r="B698" s="8">
        <v>13040102</v>
      </c>
      <c r="C698" s="8" t="s">
        <v>145</v>
      </c>
      <c r="D698" s="12" t="e">
        <f>IF(#REF!&gt;=6,IFERROR(MAX(0,#REF!)/IFERROR(_xlfn.SINGLE(_xlfn.XLOOKUP(B698,MA_ARTICULOS!$A:$A,MA_ARTICULOS!$E:$E,1)),1),0),"")</f>
        <v>#REF!</v>
      </c>
      <c r="E698" s="15" t="s">
        <v>65</v>
      </c>
      <c r="F698" s="22" t="e">
        <f>IF(#REF!&gt;=6,IFERROR(D698*_xlfn.SINGLE(_xlfn.XLOOKUP(B698,MA_ARTICULOS!$A:$A,MA_ARTICULOS!$E:$E,0)),""),"")</f>
        <v>#REF!</v>
      </c>
    </row>
    <row r="699" spans="1:6" x14ac:dyDescent="0.3">
      <c r="A699" s="11" t="e">
        <f>IF(#REF!&gt;=6,#REF!,"")</f>
        <v>#REF!</v>
      </c>
      <c r="B699" s="8">
        <v>13040103</v>
      </c>
      <c r="C699" s="8" t="s">
        <v>146</v>
      </c>
      <c r="D699" s="12" t="e">
        <f>IF(#REF!&gt;=6,IFERROR(MAX(0,#REF!)/IFERROR(_xlfn.SINGLE(_xlfn.XLOOKUP(B699,MA_ARTICULOS!$A:$A,MA_ARTICULOS!$E:$E,1)),1),0),"")</f>
        <v>#REF!</v>
      </c>
      <c r="E699" s="15" t="s">
        <v>65</v>
      </c>
      <c r="F699" s="22" t="e">
        <f>IF(#REF!&gt;=6,IFERROR(D699*_xlfn.SINGLE(_xlfn.XLOOKUP(B699,MA_ARTICULOS!$A:$A,MA_ARTICULOS!$E:$E,0)),""),"")</f>
        <v>#REF!</v>
      </c>
    </row>
    <row r="700" spans="1:6" x14ac:dyDescent="0.3">
      <c r="A700" s="11" t="e">
        <f>IF(#REF!&gt;=6,#REF!,"")</f>
        <v>#REF!</v>
      </c>
      <c r="B700" s="8">
        <v>13050001</v>
      </c>
      <c r="C700" s="8" t="s">
        <v>147</v>
      </c>
      <c r="D700" s="12" t="e">
        <f>IF(#REF!&gt;=6,IFERROR(MAX(0,#REF!)/IFERROR(_xlfn.SINGLE(_xlfn.XLOOKUP(B700,MA_ARTICULOS!$A:$A,MA_ARTICULOS!$E:$E,1)),1),0),"")</f>
        <v>#REF!</v>
      </c>
      <c r="E700" s="15" t="s">
        <v>65</v>
      </c>
      <c r="F700" s="22" t="e">
        <f>IF(#REF!&gt;=6,IFERROR(D700*_xlfn.SINGLE(_xlfn.XLOOKUP(B700,MA_ARTICULOS!$A:$A,MA_ARTICULOS!$E:$E,0)),""),"")</f>
        <v>#REF!</v>
      </c>
    </row>
    <row r="701" spans="1:6" x14ac:dyDescent="0.3">
      <c r="A701" s="11" t="e">
        <f>IF(#REF!&gt;=6,#REF!,"")</f>
        <v>#REF!</v>
      </c>
      <c r="B701" s="8">
        <v>13050002</v>
      </c>
      <c r="C701" s="8" t="s">
        <v>148</v>
      </c>
      <c r="D701" s="12" t="e">
        <f>IF(#REF!&gt;=6,IFERROR(MAX(0,#REF!)/IFERROR(_xlfn.SINGLE(_xlfn.XLOOKUP(B701,MA_ARTICULOS!$A:$A,MA_ARTICULOS!$E:$E,1)),1),0),"")</f>
        <v>#REF!</v>
      </c>
      <c r="E701" s="15" t="s">
        <v>65</v>
      </c>
      <c r="F701" s="22" t="e">
        <f>IF(#REF!&gt;=6,IFERROR(D701*_xlfn.SINGLE(_xlfn.XLOOKUP(B701,MA_ARTICULOS!$A:$A,MA_ARTICULOS!$E:$E,0)),""),"")</f>
        <v>#REF!</v>
      </c>
    </row>
    <row r="702" spans="1:6" x14ac:dyDescent="0.3">
      <c r="A702" s="11" t="e">
        <f>IF(#REF!&gt;=6,#REF!,"")</f>
        <v>#REF!</v>
      </c>
      <c r="B702" s="8">
        <v>13050003</v>
      </c>
      <c r="C702" s="8" t="s">
        <v>149</v>
      </c>
      <c r="D702" s="12" t="e">
        <f>IF(#REF!&gt;=6,IFERROR(MAX(0,#REF!)/IFERROR(_xlfn.SINGLE(_xlfn.XLOOKUP(B702,MA_ARTICULOS!$A:$A,MA_ARTICULOS!$E:$E,1)),1),0),"")</f>
        <v>#REF!</v>
      </c>
      <c r="E702" s="15" t="s">
        <v>65</v>
      </c>
      <c r="F702" s="22" t="e">
        <f>IF(#REF!&gt;=6,IFERROR(D702*_xlfn.SINGLE(_xlfn.XLOOKUP(B702,MA_ARTICULOS!$A:$A,MA_ARTICULOS!$E:$E,0)),""),"")</f>
        <v>#REF!</v>
      </c>
    </row>
    <row r="703" spans="1:6" x14ac:dyDescent="0.3">
      <c r="A703" s="11" t="e">
        <f>IF(#REF!&gt;=6,#REF!,"")</f>
        <v>#REF!</v>
      </c>
      <c r="B703" s="8">
        <v>13050004</v>
      </c>
      <c r="C703" s="8" t="s">
        <v>150</v>
      </c>
      <c r="D703" s="12" t="e">
        <f>IF(#REF!&gt;=6,IFERROR(MAX(0,#REF!)/IFERROR(_xlfn.SINGLE(_xlfn.XLOOKUP(B703,MA_ARTICULOS!$A:$A,MA_ARTICULOS!$E:$E,1)),1),0),"")</f>
        <v>#REF!</v>
      </c>
      <c r="E703" s="15" t="s">
        <v>65</v>
      </c>
      <c r="F703" s="22" t="e">
        <f>IF(#REF!&gt;=6,IFERROR(D703*_xlfn.SINGLE(_xlfn.XLOOKUP(B703,MA_ARTICULOS!$A:$A,MA_ARTICULOS!$E:$E,0)),""),"")</f>
        <v>#REF!</v>
      </c>
    </row>
    <row r="704" spans="1:6" x14ac:dyDescent="0.3">
      <c r="A704" s="11" t="e">
        <f>IF(#REF!&gt;=6,#REF!,"")</f>
        <v>#REF!</v>
      </c>
      <c r="B704" s="8">
        <v>13050005</v>
      </c>
      <c r="C704" s="8" t="s">
        <v>151</v>
      </c>
      <c r="D704" s="12" t="e">
        <f>IF(#REF!&gt;=6,IFERROR(MAX(0,#REF!)/IFERROR(_xlfn.SINGLE(_xlfn.XLOOKUP(B704,MA_ARTICULOS!$A:$A,MA_ARTICULOS!$E:$E,1)),1),0),"")</f>
        <v>#REF!</v>
      </c>
      <c r="E704" s="15" t="s">
        <v>65</v>
      </c>
      <c r="F704" s="22" t="e">
        <f>IF(#REF!&gt;=6,IFERROR(D704*_xlfn.SINGLE(_xlfn.XLOOKUP(B704,MA_ARTICULOS!$A:$A,MA_ARTICULOS!$E:$E,0)),""),"")</f>
        <v>#REF!</v>
      </c>
    </row>
    <row r="705" spans="1:6" x14ac:dyDescent="0.3">
      <c r="A705" s="11" t="e">
        <f>IF(#REF!&gt;=6,#REF!,"")</f>
        <v>#REF!</v>
      </c>
      <c r="B705" s="8">
        <v>13050006</v>
      </c>
      <c r="C705" s="8" t="s">
        <v>152</v>
      </c>
      <c r="D705" s="12" t="e">
        <f>IF(#REF!&gt;=6,IFERROR(MAX(0,#REF!)/IFERROR(_xlfn.SINGLE(_xlfn.XLOOKUP(B705,MA_ARTICULOS!$A:$A,MA_ARTICULOS!$E:$E,1)),1),0),"")</f>
        <v>#REF!</v>
      </c>
      <c r="E705" s="15" t="s">
        <v>65</v>
      </c>
      <c r="F705" s="22" t="e">
        <f>IF(#REF!&gt;=6,IFERROR(D705*_xlfn.SINGLE(_xlfn.XLOOKUP(B705,MA_ARTICULOS!$A:$A,MA_ARTICULOS!$E:$E,0)),""),"")</f>
        <v>#REF!</v>
      </c>
    </row>
    <row r="706" spans="1:6" x14ac:dyDescent="0.3">
      <c r="A706" s="11" t="e">
        <f>IF(#REF!&gt;=6,#REF!,"")</f>
        <v>#REF!</v>
      </c>
      <c r="B706" s="8">
        <v>13050007</v>
      </c>
      <c r="C706" s="8" t="s">
        <v>153</v>
      </c>
      <c r="D706" s="12" t="e">
        <f>IF(#REF!&gt;=6,IFERROR(MAX(0,#REF!)/IFERROR(_xlfn.SINGLE(_xlfn.XLOOKUP(B706,MA_ARTICULOS!$A:$A,MA_ARTICULOS!$E:$E,1)),1),0),"")</f>
        <v>#REF!</v>
      </c>
      <c r="E706" s="15" t="s">
        <v>65</v>
      </c>
      <c r="F706" s="22" t="e">
        <f>IF(#REF!&gt;=6,IFERROR(D706*_xlfn.SINGLE(_xlfn.XLOOKUP(B706,MA_ARTICULOS!$A:$A,MA_ARTICULOS!$E:$E,0)),""),"")</f>
        <v>#REF!</v>
      </c>
    </row>
    <row r="707" spans="1:6" x14ac:dyDescent="0.3">
      <c r="A707" s="11" t="e">
        <f>IF(#REF!&gt;=6,#REF!,"")</f>
        <v>#REF!</v>
      </c>
      <c r="B707" s="8">
        <v>13050008</v>
      </c>
      <c r="C707" s="8" t="s">
        <v>154</v>
      </c>
      <c r="D707" s="12" t="e">
        <f>IF(#REF!&gt;=6,IFERROR(MAX(0,#REF!)/IFERROR(_xlfn.SINGLE(_xlfn.XLOOKUP(B707,MA_ARTICULOS!$A:$A,MA_ARTICULOS!$E:$E,1)),1),0),"")</f>
        <v>#REF!</v>
      </c>
      <c r="E707" s="15" t="s">
        <v>65</v>
      </c>
      <c r="F707" s="22" t="e">
        <f>IF(#REF!&gt;=6,IFERROR(D707*_xlfn.SINGLE(_xlfn.XLOOKUP(B707,MA_ARTICULOS!$A:$A,MA_ARTICULOS!$E:$E,0)),""),"")</f>
        <v>#REF!</v>
      </c>
    </row>
    <row r="708" spans="1:6" x14ac:dyDescent="0.3">
      <c r="A708" s="11" t="e">
        <f>IF(#REF!&gt;=6,#REF!,"")</f>
        <v>#REF!</v>
      </c>
      <c r="B708" s="8">
        <v>13089001</v>
      </c>
      <c r="C708" s="8" t="s">
        <v>155</v>
      </c>
      <c r="D708" s="12" t="e">
        <f>IF(#REF!&gt;=6,IFERROR(MAX(0,#REF!)/IFERROR(_xlfn.SINGLE(_xlfn.XLOOKUP(B708,MA_ARTICULOS!$A:$A,MA_ARTICULOS!$E:$E,1)),1),0),"")</f>
        <v>#REF!</v>
      </c>
      <c r="E708" s="15" t="s">
        <v>65</v>
      </c>
      <c r="F708" s="22" t="e">
        <f>IF(#REF!&gt;=6,IFERROR(D708*_xlfn.SINGLE(_xlfn.XLOOKUP(B708,MA_ARTICULOS!$A:$A,MA_ARTICULOS!$E:$E,0)),""),"")</f>
        <v>#REF!</v>
      </c>
    </row>
    <row r="709" spans="1:6" x14ac:dyDescent="0.3">
      <c r="A709" s="11" t="e">
        <f>IF(#REF!&gt;=6,#REF!,"")</f>
        <v>#REF!</v>
      </c>
      <c r="B709" s="8">
        <v>13089002</v>
      </c>
      <c r="C709" s="8" t="s">
        <v>156</v>
      </c>
      <c r="D709" s="12" t="e">
        <f>IF(#REF!&gt;=6,IFERROR(MAX(0,#REF!)/IFERROR(_xlfn.SINGLE(_xlfn.XLOOKUP(B709,MA_ARTICULOS!$A:$A,MA_ARTICULOS!$E:$E,1)),1),0),"")</f>
        <v>#REF!</v>
      </c>
      <c r="E709" s="15" t="s">
        <v>65</v>
      </c>
      <c r="F709" s="22" t="e">
        <f>IF(#REF!&gt;=6,IFERROR(D709*_xlfn.SINGLE(_xlfn.XLOOKUP(B709,MA_ARTICULOS!$A:$A,MA_ARTICULOS!$E:$E,0)),""),"")</f>
        <v>#REF!</v>
      </c>
    </row>
    <row r="710" spans="1:6" x14ac:dyDescent="0.3">
      <c r="A710" s="11" t="e">
        <f>IF(#REF!&gt;=6,#REF!,"")</f>
        <v>#REF!</v>
      </c>
      <c r="B710" s="8">
        <v>13089003</v>
      </c>
      <c r="C710" s="8" t="s">
        <v>157</v>
      </c>
      <c r="D710" s="12" t="e">
        <f>IF(#REF!&gt;=6,IFERROR(MAX(0,#REF!)/IFERROR(_xlfn.SINGLE(_xlfn.XLOOKUP(B710,MA_ARTICULOS!$A:$A,MA_ARTICULOS!$E:$E,1)),1),0),"")</f>
        <v>#REF!</v>
      </c>
      <c r="E710" s="15" t="s">
        <v>65</v>
      </c>
      <c r="F710" s="22" t="e">
        <f>IF(#REF!&gt;=6,IFERROR(D710*_xlfn.SINGLE(_xlfn.XLOOKUP(B710,MA_ARTICULOS!$A:$A,MA_ARTICULOS!$E:$E,0)),""),"")</f>
        <v>#REF!</v>
      </c>
    </row>
    <row r="711" spans="1:6" x14ac:dyDescent="0.3">
      <c r="A711" s="11" t="e">
        <f>IF(#REF!&gt;=6,#REF!,"")</f>
        <v>#REF!</v>
      </c>
      <c r="B711" s="8">
        <v>13089004</v>
      </c>
      <c r="C711" s="8" t="s">
        <v>158</v>
      </c>
      <c r="D711" s="12" t="e">
        <f>IF(#REF!&gt;=6,IFERROR(MAX(0,#REF!)/IFERROR(_xlfn.SINGLE(_xlfn.XLOOKUP(B711,MA_ARTICULOS!$A:$A,MA_ARTICULOS!$E:$E,1)),1),0),"")</f>
        <v>#REF!</v>
      </c>
      <c r="E711" s="15" t="s">
        <v>65</v>
      </c>
      <c r="F711" s="22" t="e">
        <f>IF(#REF!&gt;=6,IFERROR(D711*_xlfn.SINGLE(_xlfn.XLOOKUP(B711,MA_ARTICULOS!$A:$A,MA_ARTICULOS!$E:$E,0)),""),"")</f>
        <v>#REF!</v>
      </c>
    </row>
    <row r="712" spans="1:6" x14ac:dyDescent="0.3">
      <c r="A712" s="11" t="e">
        <f>IF(#REF!&gt;=6,#REF!,"")</f>
        <v>#REF!</v>
      </c>
      <c r="B712" s="8">
        <v>13089005</v>
      </c>
      <c r="C712" s="8" t="s">
        <v>159</v>
      </c>
      <c r="D712" s="12" t="e">
        <f>IF(#REF!&gt;=6,IFERROR(MAX(0,#REF!)/IFERROR(_xlfn.SINGLE(_xlfn.XLOOKUP(B712,MA_ARTICULOS!$A:$A,MA_ARTICULOS!$E:$E,1)),1),0),"")</f>
        <v>#REF!</v>
      </c>
      <c r="E712" s="15" t="s">
        <v>65</v>
      </c>
      <c r="F712" s="22" t="e">
        <f>IF(#REF!&gt;=6,IFERROR(D712*_xlfn.SINGLE(_xlfn.XLOOKUP(B712,MA_ARTICULOS!$A:$A,MA_ARTICULOS!$E:$E,0)),""),"")</f>
        <v>#REF!</v>
      </c>
    </row>
    <row r="713" spans="1:6" x14ac:dyDescent="0.3">
      <c r="A713" s="11" t="e">
        <f>IF(#REF!&gt;=6,#REF!,"")</f>
        <v>#REF!</v>
      </c>
      <c r="B713" s="8">
        <v>13089006</v>
      </c>
      <c r="C713" s="8" t="s">
        <v>160</v>
      </c>
      <c r="D713" s="12" t="e">
        <f>IF(#REF!&gt;=6,IFERROR(MAX(0,#REF!)/IFERROR(_xlfn.SINGLE(_xlfn.XLOOKUP(B713,MA_ARTICULOS!$A:$A,MA_ARTICULOS!$E:$E,1)),1),0),"")</f>
        <v>#REF!</v>
      </c>
      <c r="E713" s="15" t="s">
        <v>65</v>
      </c>
      <c r="F713" s="22" t="e">
        <f>IF(#REF!&gt;=6,IFERROR(D713*_xlfn.SINGLE(_xlfn.XLOOKUP(B713,MA_ARTICULOS!$A:$A,MA_ARTICULOS!$E:$E,0)),""),"")</f>
        <v>#REF!</v>
      </c>
    </row>
    <row r="714" spans="1:6" x14ac:dyDescent="0.3">
      <c r="A714" s="11" t="e">
        <f>IF(#REF!&gt;=6,#REF!,"")</f>
        <v>#REF!</v>
      </c>
      <c r="B714" s="8">
        <v>13089007</v>
      </c>
      <c r="C714" s="8" t="s">
        <v>161</v>
      </c>
      <c r="D714" s="12" t="e">
        <f>IF(#REF!&gt;=6,IFERROR(MAX(0,#REF!)/IFERROR(_xlfn.SINGLE(_xlfn.XLOOKUP(B714,MA_ARTICULOS!$A:$A,MA_ARTICULOS!$E:$E,1)),1),0),"")</f>
        <v>#REF!</v>
      </c>
      <c r="E714" s="15" t="s">
        <v>65</v>
      </c>
      <c r="F714" s="22" t="e">
        <f>IF(#REF!&gt;=6,IFERROR(D714*_xlfn.SINGLE(_xlfn.XLOOKUP(B714,MA_ARTICULOS!$A:$A,MA_ARTICULOS!$E:$E,0)),""),"")</f>
        <v>#REF!</v>
      </c>
    </row>
    <row r="715" spans="1:6" x14ac:dyDescent="0.3">
      <c r="A715" s="11" t="e">
        <f>IF(#REF!&gt;=6,#REF!,"")</f>
        <v>#REF!</v>
      </c>
      <c r="B715" s="8">
        <v>13090001</v>
      </c>
      <c r="C715" s="8" t="s">
        <v>162</v>
      </c>
      <c r="D715" s="12" t="e">
        <f>IF(#REF!&gt;=6,IFERROR(MAX(0,#REF!)/IFERROR(_xlfn.SINGLE(_xlfn.XLOOKUP(B715,MA_ARTICULOS!$A:$A,MA_ARTICULOS!$E:$E,1)),1),0),"")</f>
        <v>#REF!</v>
      </c>
      <c r="E715" s="15" t="s">
        <v>65</v>
      </c>
      <c r="F715" s="22" t="e">
        <f>IF(#REF!&gt;=6,IFERROR(D715*_xlfn.SINGLE(_xlfn.XLOOKUP(B715,MA_ARTICULOS!$A:$A,MA_ARTICULOS!$E:$E,0)),""),"")</f>
        <v>#REF!</v>
      </c>
    </row>
    <row r="716" spans="1:6" x14ac:dyDescent="0.3">
      <c r="A716" s="11" t="e">
        <f>IF(#REF!&gt;=6,#REF!,"")</f>
        <v>#REF!</v>
      </c>
      <c r="B716" s="8">
        <v>13090002</v>
      </c>
      <c r="C716" s="8" t="s">
        <v>163</v>
      </c>
      <c r="D716" s="12" t="e">
        <f>IF(#REF!&gt;=6,IFERROR(MAX(0,#REF!)/IFERROR(_xlfn.SINGLE(_xlfn.XLOOKUP(B716,MA_ARTICULOS!$A:$A,MA_ARTICULOS!$E:$E,1)),1),0),"")</f>
        <v>#REF!</v>
      </c>
      <c r="E716" s="15" t="s">
        <v>65</v>
      </c>
      <c r="F716" s="22" t="e">
        <f>IF(#REF!&gt;=6,IFERROR(D716*_xlfn.SINGLE(_xlfn.XLOOKUP(B716,MA_ARTICULOS!$A:$A,MA_ARTICULOS!$E:$E,0)),""),"")</f>
        <v>#REF!</v>
      </c>
    </row>
    <row r="717" spans="1:6" x14ac:dyDescent="0.3">
      <c r="A717" s="11" t="e">
        <f>IF(#REF!&gt;=6,#REF!,"")</f>
        <v>#REF!</v>
      </c>
      <c r="B717" s="8">
        <v>13099001</v>
      </c>
      <c r="C717" s="8" t="s">
        <v>164</v>
      </c>
      <c r="D717" s="12" t="e">
        <f>IF(#REF!&gt;=6,IFERROR(MAX(0,#REF!)/IFERROR(_xlfn.SINGLE(_xlfn.XLOOKUP(B717,MA_ARTICULOS!$A:$A,MA_ARTICULOS!$E:$E,1)),1),0),"")</f>
        <v>#REF!</v>
      </c>
      <c r="E717" s="15" t="s">
        <v>65</v>
      </c>
      <c r="F717" s="22" t="e">
        <f>IF(#REF!&gt;=6,IFERROR(D717*_xlfn.SINGLE(_xlfn.XLOOKUP(B717,MA_ARTICULOS!$A:$A,MA_ARTICULOS!$E:$E,0)),""),"")</f>
        <v>#REF!</v>
      </c>
    </row>
    <row r="718" spans="1:6" x14ac:dyDescent="0.3">
      <c r="A718" s="11" t="e">
        <f>IF(#REF!&gt;=6,#REF!,"")</f>
        <v>#REF!</v>
      </c>
      <c r="B718" s="8">
        <v>13099002</v>
      </c>
      <c r="C718" s="8" t="s">
        <v>165</v>
      </c>
      <c r="D718" s="12" t="e">
        <f>IF(#REF!&gt;=6,IFERROR(MAX(0,#REF!)/IFERROR(_xlfn.SINGLE(_xlfn.XLOOKUP(B718,MA_ARTICULOS!$A:$A,MA_ARTICULOS!$E:$E,1)),1),0),"")</f>
        <v>#REF!</v>
      </c>
      <c r="E718" s="15" t="s">
        <v>65</v>
      </c>
      <c r="F718" s="22" t="e">
        <f>IF(#REF!&gt;=6,IFERROR(D718*_xlfn.SINGLE(_xlfn.XLOOKUP(B718,MA_ARTICULOS!$A:$A,MA_ARTICULOS!$E:$E,0)),""),"")</f>
        <v>#REF!</v>
      </c>
    </row>
    <row r="719" spans="1:6" x14ac:dyDescent="0.3">
      <c r="A719" s="11" t="e">
        <f>IF(#REF!&gt;=6,#REF!,"")</f>
        <v>#REF!</v>
      </c>
      <c r="B719" s="8">
        <v>13110001</v>
      </c>
      <c r="C719" s="8" t="s">
        <v>166</v>
      </c>
      <c r="D719" s="12" t="e">
        <f>IF(#REF!&gt;=6,IFERROR(MAX(0,#REF!)/IFERROR(_xlfn.SINGLE(_xlfn.XLOOKUP(B719,MA_ARTICULOS!$A:$A,MA_ARTICULOS!$E:$E,1)),1),0),"")</f>
        <v>#REF!</v>
      </c>
      <c r="E719" s="15" t="s">
        <v>65</v>
      </c>
      <c r="F719" s="22" t="e">
        <f>IF(#REF!&gt;=6,IFERROR(D719*_xlfn.SINGLE(_xlfn.XLOOKUP(B719,MA_ARTICULOS!$A:$A,MA_ARTICULOS!$E:$E,0)),""),"")</f>
        <v>#REF!</v>
      </c>
    </row>
    <row r="720" spans="1:6" x14ac:dyDescent="0.3">
      <c r="A720" s="11" t="e">
        <f>IF(#REF!&gt;=6,#REF!,"")</f>
        <v>#REF!</v>
      </c>
      <c r="B720" s="8">
        <v>13110002</v>
      </c>
      <c r="C720" s="8" t="s">
        <v>167</v>
      </c>
      <c r="D720" s="12" t="e">
        <f>IF(#REF!&gt;=6,IFERROR(MAX(0,#REF!)/IFERROR(_xlfn.SINGLE(_xlfn.XLOOKUP(B720,MA_ARTICULOS!$A:$A,MA_ARTICULOS!$E:$E,1)),1),0),"")</f>
        <v>#REF!</v>
      </c>
      <c r="E720" s="15" t="s">
        <v>65</v>
      </c>
      <c r="F720" s="22" t="e">
        <f>IF(#REF!&gt;=6,IFERROR(D720*_xlfn.SINGLE(_xlfn.XLOOKUP(B720,MA_ARTICULOS!$A:$A,MA_ARTICULOS!$E:$E,0)),""),"")</f>
        <v>#REF!</v>
      </c>
    </row>
    <row r="721" spans="1:6" x14ac:dyDescent="0.3">
      <c r="A721" s="11" t="e">
        <f>IF(#REF!&gt;=6,#REF!,"")</f>
        <v>#REF!</v>
      </c>
      <c r="B721" s="8">
        <v>13110003</v>
      </c>
      <c r="C721" s="8" t="s">
        <v>168</v>
      </c>
      <c r="D721" s="12" t="e">
        <f>IF(#REF!&gt;=6,IFERROR(MAX(0,#REF!)/IFERROR(_xlfn.SINGLE(_xlfn.XLOOKUP(B721,MA_ARTICULOS!$A:$A,MA_ARTICULOS!$E:$E,1)),1),0),"")</f>
        <v>#REF!</v>
      </c>
      <c r="E721" s="15" t="s">
        <v>65</v>
      </c>
      <c r="F721" s="22" t="e">
        <f>IF(#REF!&gt;=6,IFERROR(D721*_xlfn.SINGLE(_xlfn.XLOOKUP(B721,MA_ARTICULOS!$A:$A,MA_ARTICULOS!$E:$E,0)),""),"")</f>
        <v>#REF!</v>
      </c>
    </row>
    <row r="722" spans="1:6" x14ac:dyDescent="0.3">
      <c r="A722" s="11" t="e">
        <f>IF(#REF!&gt;=6,#REF!,"")</f>
        <v>#REF!</v>
      </c>
      <c r="B722" s="8">
        <v>13110004</v>
      </c>
      <c r="C722" s="8" t="s">
        <v>169</v>
      </c>
      <c r="D722" s="12" t="e">
        <f>IF(#REF!&gt;=6,IFERROR(MAX(0,#REF!)/IFERROR(_xlfn.SINGLE(_xlfn.XLOOKUP(B722,MA_ARTICULOS!$A:$A,MA_ARTICULOS!$E:$E,1)),1),0),"")</f>
        <v>#REF!</v>
      </c>
      <c r="E722" s="15" t="s">
        <v>65</v>
      </c>
      <c r="F722" s="22" t="e">
        <f>IF(#REF!&gt;=6,IFERROR(D722*_xlfn.SINGLE(_xlfn.XLOOKUP(B722,MA_ARTICULOS!$A:$A,MA_ARTICULOS!$E:$E,0)),""),"")</f>
        <v>#REF!</v>
      </c>
    </row>
    <row r="723" spans="1:6" x14ac:dyDescent="0.3">
      <c r="A723" s="11" t="e">
        <f>IF(#REF!&gt;=6,#REF!,"")</f>
        <v>#REF!</v>
      </c>
      <c r="B723" s="8">
        <v>13130001</v>
      </c>
      <c r="C723" s="8" t="s">
        <v>170</v>
      </c>
      <c r="D723" s="12" t="e">
        <f>IF(#REF!&gt;=6,IFERROR(MAX(0,#REF!)/IFERROR(_xlfn.SINGLE(_xlfn.XLOOKUP(B723,MA_ARTICULOS!$A:$A,MA_ARTICULOS!$E:$E,1)),1),0),"")</f>
        <v>#REF!</v>
      </c>
      <c r="E723" s="15" t="s">
        <v>65</v>
      </c>
      <c r="F723" s="22" t="e">
        <f>IF(#REF!&gt;=6,IFERROR(D723*_xlfn.SINGLE(_xlfn.XLOOKUP(B723,MA_ARTICULOS!$A:$A,MA_ARTICULOS!$E:$E,0)),""),"")</f>
        <v>#REF!</v>
      </c>
    </row>
    <row r="724" spans="1:6" x14ac:dyDescent="0.3">
      <c r="A724" s="11" t="e">
        <f>IF(#REF!&gt;=6,#REF!,"")</f>
        <v>#REF!</v>
      </c>
      <c r="B724" s="8">
        <v>13130002</v>
      </c>
      <c r="C724" s="8" t="s">
        <v>171</v>
      </c>
      <c r="D724" s="12" t="e">
        <f>IF(#REF!&gt;=6,IFERROR(MAX(0,#REF!)/IFERROR(_xlfn.SINGLE(_xlfn.XLOOKUP(B724,MA_ARTICULOS!$A:$A,MA_ARTICULOS!$E:$E,1)),1),0),"")</f>
        <v>#REF!</v>
      </c>
      <c r="E724" s="15" t="s">
        <v>65</v>
      </c>
      <c r="F724" s="22" t="e">
        <f>IF(#REF!&gt;=6,IFERROR(D724*_xlfn.SINGLE(_xlfn.XLOOKUP(B724,MA_ARTICULOS!$A:$A,MA_ARTICULOS!$E:$E,0)),""),"")</f>
        <v>#REF!</v>
      </c>
    </row>
    <row r="725" spans="1:6" x14ac:dyDescent="0.3">
      <c r="A725" s="11" t="e">
        <f>IF(#REF!&gt;=6,#REF!,"")</f>
        <v>#REF!</v>
      </c>
      <c r="B725" s="8">
        <v>13130003</v>
      </c>
      <c r="C725" s="8" t="s">
        <v>172</v>
      </c>
      <c r="D725" s="12" t="e">
        <f>IF(#REF!&gt;=6,IFERROR(MAX(0,#REF!)/IFERROR(_xlfn.SINGLE(_xlfn.XLOOKUP(B725,MA_ARTICULOS!$A:$A,MA_ARTICULOS!$E:$E,1)),1),0),"")</f>
        <v>#REF!</v>
      </c>
      <c r="E725" s="15" t="s">
        <v>65</v>
      </c>
      <c r="F725" s="22" t="e">
        <f>IF(#REF!&gt;=6,IFERROR(D725*_xlfn.SINGLE(_xlfn.XLOOKUP(B725,MA_ARTICULOS!$A:$A,MA_ARTICULOS!$E:$E,0)),""),"")</f>
        <v>#REF!</v>
      </c>
    </row>
    <row r="726" spans="1:6" x14ac:dyDescent="0.3">
      <c r="A726" s="11" t="e">
        <f>IF(#REF!&gt;=6,#REF!,"")</f>
        <v>#REF!</v>
      </c>
      <c r="B726" s="8">
        <v>23080001</v>
      </c>
      <c r="C726" s="8" t="s">
        <v>173</v>
      </c>
      <c r="D726" s="12" t="e">
        <f>IF(#REF!&gt;=6,IFERROR(MAX(0,#REF!)/IFERROR(_xlfn.SINGLE(_xlfn.XLOOKUP(B726,MA_ARTICULOS!$A:$A,MA_ARTICULOS!$E:$E,1)),1),0),"")</f>
        <v>#REF!</v>
      </c>
      <c r="E726" s="15" t="s">
        <v>65</v>
      </c>
      <c r="F726" s="22" t="e">
        <f>IF(#REF!&gt;=6,IFERROR(D726*_xlfn.SINGLE(_xlfn.XLOOKUP(B726,MA_ARTICULOS!$A:$A,MA_ARTICULOS!$E:$E,0)),""),"")</f>
        <v>#REF!</v>
      </c>
    </row>
    <row r="727" spans="1:6" x14ac:dyDescent="0.3">
      <c r="A727" s="11" t="e">
        <f>IF(#REF!&gt;=6,#REF!,"")</f>
        <v>#REF!</v>
      </c>
      <c r="B727" s="8">
        <v>23080002</v>
      </c>
      <c r="C727" s="8" t="s">
        <v>174</v>
      </c>
      <c r="D727" s="12" t="e">
        <f>IF(#REF!&gt;=6,IFERROR(MAX(0,#REF!)/IFERROR(_xlfn.SINGLE(_xlfn.XLOOKUP(B727,MA_ARTICULOS!$A:$A,MA_ARTICULOS!$E:$E,1)),1),0),"")</f>
        <v>#REF!</v>
      </c>
      <c r="E727" s="15" t="s">
        <v>65</v>
      </c>
      <c r="F727" s="22" t="e">
        <f>IF(#REF!&gt;=6,IFERROR(D727*_xlfn.SINGLE(_xlfn.XLOOKUP(B727,MA_ARTICULOS!$A:$A,MA_ARTICULOS!$E:$E,0)),""),"")</f>
        <v>#REF!</v>
      </c>
    </row>
    <row r="728" spans="1:6" x14ac:dyDescent="0.3">
      <c r="A728" s="11" t="e">
        <f>IF(#REF!&gt;=6,#REF!,"")</f>
        <v>#REF!</v>
      </c>
      <c r="B728" s="8">
        <v>23080003</v>
      </c>
      <c r="C728" s="8" t="s">
        <v>175</v>
      </c>
      <c r="D728" s="12" t="e">
        <f>IF(#REF!&gt;=6,IFERROR(MAX(0,#REF!)/IFERROR(_xlfn.SINGLE(_xlfn.XLOOKUP(B728,MA_ARTICULOS!$A:$A,MA_ARTICULOS!$E:$E,1)),1),0),"")</f>
        <v>#REF!</v>
      </c>
      <c r="E728" s="15" t="s">
        <v>65</v>
      </c>
      <c r="F728" s="22" t="e">
        <f>IF(#REF!&gt;=6,IFERROR(D728*_xlfn.SINGLE(_xlfn.XLOOKUP(B728,MA_ARTICULOS!$A:$A,MA_ARTICULOS!$E:$E,0)),""),"")</f>
        <v>#REF!</v>
      </c>
    </row>
    <row r="729" spans="1:6" x14ac:dyDescent="0.3">
      <c r="A729" s="11" t="e">
        <f>IF(#REF!&gt;=6,#REF!,"")</f>
        <v>#REF!</v>
      </c>
      <c r="B729" s="8">
        <v>23080004</v>
      </c>
      <c r="C729" s="8" t="s">
        <v>176</v>
      </c>
      <c r="D729" s="12" t="e">
        <f>IF(#REF!&gt;=6,IFERROR(MAX(0,#REF!)/IFERROR(_xlfn.SINGLE(_xlfn.XLOOKUP(B729,MA_ARTICULOS!$A:$A,MA_ARTICULOS!$E:$E,1)),1),0),"")</f>
        <v>#REF!</v>
      </c>
      <c r="E729" s="15" t="s">
        <v>65</v>
      </c>
      <c r="F729" s="22" t="e">
        <f>IF(#REF!&gt;=6,IFERROR(D729*_xlfn.SINGLE(_xlfn.XLOOKUP(B729,MA_ARTICULOS!$A:$A,MA_ARTICULOS!$E:$E,0)),""),"")</f>
        <v>#REF!</v>
      </c>
    </row>
    <row r="730" spans="1:6" x14ac:dyDescent="0.3">
      <c r="A730" s="11" t="e">
        <f>IF(#REF!&gt;=6,#REF!,"")</f>
        <v>#REF!</v>
      </c>
      <c r="B730" s="8">
        <v>23080005</v>
      </c>
      <c r="C730" s="8" t="s">
        <v>177</v>
      </c>
      <c r="D730" s="12" t="e">
        <f>IF(#REF!&gt;=6,IFERROR(MAX(0,#REF!)/IFERROR(_xlfn.SINGLE(_xlfn.XLOOKUP(B730,MA_ARTICULOS!$A:$A,MA_ARTICULOS!$E:$E,1)),1),0),"")</f>
        <v>#REF!</v>
      </c>
      <c r="E730" s="15" t="s">
        <v>65</v>
      </c>
      <c r="F730" s="22" t="e">
        <f>IF(#REF!&gt;=6,IFERROR(D730*_xlfn.SINGLE(_xlfn.XLOOKUP(B730,MA_ARTICULOS!$A:$A,MA_ARTICULOS!$E:$E,0)),""),"")</f>
        <v>#REF!</v>
      </c>
    </row>
    <row r="731" spans="1:6" x14ac:dyDescent="0.3">
      <c r="A731" s="11" t="e">
        <f>IF(#REF!&gt;=6,#REF!,"")</f>
        <v>#REF!</v>
      </c>
      <c r="B731" s="8">
        <v>23080006</v>
      </c>
      <c r="C731" s="8" t="s">
        <v>178</v>
      </c>
      <c r="D731" s="12" t="e">
        <f>IF(#REF!&gt;=6,IFERROR(MAX(0,#REF!)/IFERROR(_xlfn.SINGLE(_xlfn.XLOOKUP(B731,MA_ARTICULOS!$A:$A,MA_ARTICULOS!$E:$E,1)),1),0),"")</f>
        <v>#REF!</v>
      </c>
      <c r="E731" s="15" t="s">
        <v>65</v>
      </c>
      <c r="F731" s="22" t="e">
        <f>IF(#REF!&gt;=6,IFERROR(D731*_xlfn.SINGLE(_xlfn.XLOOKUP(B731,MA_ARTICULOS!$A:$A,MA_ARTICULOS!$E:$E,0)),""),"")</f>
        <v>#REF!</v>
      </c>
    </row>
    <row r="732" spans="1:6" x14ac:dyDescent="0.3">
      <c r="A732" s="11" t="e">
        <f>IF(#REF!&gt;=6,#REF!,"")</f>
        <v>#REF!</v>
      </c>
      <c r="B732" s="8">
        <v>23080007</v>
      </c>
      <c r="C732" s="8" t="s">
        <v>179</v>
      </c>
      <c r="D732" s="12" t="e">
        <f>IF(#REF!&gt;=6,IFERROR(MAX(0,#REF!)/IFERROR(_xlfn.SINGLE(_xlfn.XLOOKUP(B732,MA_ARTICULOS!$A:$A,MA_ARTICULOS!$E:$E,1)),1),0),"")</f>
        <v>#REF!</v>
      </c>
      <c r="E732" s="15" t="s">
        <v>65</v>
      </c>
      <c r="F732" s="22" t="e">
        <f>IF(#REF!&gt;=6,IFERROR(D732*_xlfn.SINGLE(_xlfn.XLOOKUP(B732,MA_ARTICULOS!$A:$A,MA_ARTICULOS!$E:$E,0)),""),"")</f>
        <v>#REF!</v>
      </c>
    </row>
    <row r="733" spans="1:6" x14ac:dyDescent="0.3">
      <c r="A733" s="11" t="e">
        <f>IF(#REF!&gt;=6,#REF!,"")</f>
        <v>#REF!</v>
      </c>
      <c r="B733" s="8">
        <v>101</v>
      </c>
      <c r="C733" s="8" t="s">
        <v>180</v>
      </c>
      <c r="D733" s="12" t="e">
        <f>IF(#REF!&gt;=6,IFERROR(MAX(0,#REF!)/IFERROR(_xlfn.SINGLE(_xlfn.XLOOKUP(B733,MA_ARTICULOS!$A:$A,MA_ARTICULOS!$E:$E,1)),1),0),"")</f>
        <v>#REF!</v>
      </c>
      <c r="E733" s="15" t="s">
        <v>65</v>
      </c>
      <c r="F733" s="22" t="e">
        <f>IF(#REF!&gt;=6,IFERROR(D733*_xlfn.SINGLE(_xlfn.XLOOKUP(B733,MA_ARTICULOS!$A:$A,MA_ARTICULOS!$E:$E,0)),""),"")</f>
        <v>#REF!</v>
      </c>
    </row>
    <row r="734" spans="1:6" x14ac:dyDescent="0.3">
      <c r="A734" s="11" t="e">
        <f>IF(#REF!&gt;=6,#REF!,"")</f>
        <v>#REF!</v>
      </c>
      <c r="B734" s="8">
        <v>102</v>
      </c>
      <c r="C734" s="8" t="s">
        <v>181</v>
      </c>
      <c r="D734" s="12" t="e">
        <f>IF(#REF!&gt;=6,IFERROR(MAX(0,#REF!)/IFERROR(_xlfn.SINGLE(_xlfn.XLOOKUP(B734,MA_ARTICULOS!$A:$A,MA_ARTICULOS!$E:$E,1)),1),0),"")</f>
        <v>#REF!</v>
      </c>
      <c r="E734" s="15" t="s">
        <v>65</v>
      </c>
      <c r="F734" s="22" t="e">
        <f>IF(#REF!&gt;=6,IFERROR(D734*_xlfn.SINGLE(_xlfn.XLOOKUP(B734,MA_ARTICULOS!$A:$A,MA_ARTICULOS!$E:$E,0)),""),"")</f>
        <v>#REF!</v>
      </c>
    </row>
    <row r="735" spans="1:6" x14ac:dyDescent="0.3">
      <c r="A735" s="11" t="e">
        <f>IF(#REF!&gt;=6,#REF!,"")</f>
        <v>#REF!</v>
      </c>
      <c r="B735" s="8">
        <v>104</v>
      </c>
      <c r="C735" s="8" t="s">
        <v>182</v>
      </c>
      <c r="D735" s="12" t="e">
        <f>IF(#REF!&gt;=6,IFERROR(MAX(0,#REF!)/IFERROR(_xlfn.SINGLE(_xlfn.XLOOKUP(B735,MA_ARTICULOS!$A:$A,MA_ARTICULOS!$E:$E,1)),1),0),"")</f>
        <v>#REF!</v>
      </c>
      <c r="E735" s="15" t="s">
        <v>65</v>
      </c>
      <c r="F735" s="22" t="e">
        <f>IF(#REF!&gt;=6,IFERROR(D735*_xlfn.SINGLE(_xlfn.XLOOKUP(B735,MA_ARTICULOS!$A:$A,MA_ARTICULOS!$E:$E,0)),""),"")</f>
        <v>#REF!</v>
      </c>
    </row>
    <row r="736" spans="1:6" x14ac:dyDescent="0.3">
      <c r="A736" s="11" t="e">
        <f>IF(#REF!&gt;=6,#REF!,"")</f>
        <v>#REF!</v>
      </c>
      <c r="B736" s="8">
        <v>105</v>
      </c>
      <c r="C736" s="8" t="s">
        <v>183</v>
      </c>
      <c r="D736" s="12" t="e">
        <f>IF(#REF!&gt;=6,IFERROR(MAX(0,#REF!)/IFERROR(_xlfn.SINGLE(_xlfn.XLOOKUP(B736,MA_ARTICULOS!$A:$A,MA_ARTICULOS!$E:$E,1)),1),0),"")</f>
        <v>#REF!</v>
      </c>
      <c r="E736" s="15" t="s">
        <v>65</v>
      </c>
      <c r="F736" s="22" t="e">
        <f>IF(#REF!&gt;=6,IFERROR(D736*_xlfn.SINGLE(_xlfn.XLOOKUP(B736,MA_ARTICULOS!$A:$A,MA_ARTICULOS!$E:$E,0)),""),"")</f>
        <v>#REF!</v>
      </c>
    </row>
    <row r="737" spans="1:6" x14ac:dyDescent="0.3">
      <c r="A737" s="11" t="e">
        <f>IF(#REF!&gt;=6,#REF!,"")</f>
        <v>#REF!</v>
      </c>
      <c r="B737" s="8">
        <v>106</v>
      </c>
      <c r="C737" s="8" t="s">
        <v>184</v>
      </c>
      <c r="D737" s="12" t="e">
        <f>IF(#REF!&gt;=6,IFERROR(MAX(0,#REF!)/IFERROR(_xlfn.SINGLE(_xlfn.XLOOKUP(B737,MA_ARTICULOS!$A:$A,MA_ARTICULOS!$E:$E,1)),1),0),"")</f>
        <v>#REF!</v>
      </c>
      <c r="E737" s="15" t="s">
        <v>65</v>
      </c>
      <c r="F737" s="22" t="e">
        <f>IF(#REF!&gt;=6,IFERROR(D737*_xlfn.SINGLE(_xlfn.XLOOKUP(B737,MA_ARTICULOS!$A:$A,MA_ARTICULOS!$E:$E,0)),""),"")</f>
        <v>#REF!</v>
      </c>
    </row>
    <row r="738" spans="1:6" x14ac:dyDescent="0.3">
      <c r="A738" s="11" t="e">
        <f>IF(#REF!&gt;=6,#REF!,"")</f>
        <v>#REF!</v>
      </c>
      <c r="B738" s="8">
        <v>120</v>
      </c>
      <c r="C738" s="8" t="s">
        <v>185</v>
      </c>
      <c r="D738" s="12" t="e">
        <f>IF(#REF!&gt;=6,IFERROR(MAX(0,#REF!)/IFERROR(_xlfn.SINGLE(_xlfn.XLOOKUP(B738,MA_ARTICULOS!$A:$A,MA_ARTICULOS!$E:$E,1)),1),0),"")</f>
        <v>#REF!</v>
      </c>
      <c r="E738" s="15" t="s">
        <v>65</v>
      </c>
      <c r="F738" s="22" t="e">
        <f>IF(#REF!&gt;=6,IFERROR(D738*_xlfn.SINGLE(_xlfn.XLOOKUP(B738,MA_ARTICULOS!$A:$A,MA_ARTICULOS!$E:$E,0)),""),"")</f>
        <v>#REF!</v>
      </c>
    </row>
    <row r="739" spans="1:6" x14ac:dyDescent="0.3">
      <c r="A739" s="11" t="e">
        <f>IF(#REF!&gt;=6,#REF!,"")</f>
        <v>#REF!</v>
      </c>
      <c r="B739" s="8">
        <v>121</v>
      </c>
      <c r="C739" s="8" t="s">
        <v>186</v>
      </c>
      <c r="D739" s="12" t="e">
        <f>IF(#REF!&gt;=6,IFERROR(MAX(0,#REF!)/IFERROR(_xlfn.SINGLE(_xlfn.XLOOKUP(B739,MA_ARTICULOS!$A:$A,MA_ARTICULOS!$E:$E,1)),1),0),"")</f>
        <v>#REF!</v>
      </c>
      <c r="E739" s="15" t="s">
        <v>65</v>
      </c>
      <c r="F739" s="22" t="e">
        <f>IF(#REF!&gt;=6,IFERROR(D739*_xlfn.SINGLE(_xlfn.XLOOKUP(B739,MA_ARTICULOS!$A:$A,MA_ARTICULOS!$E:$E,0)),""),"")</f>
        <v>#REF!</v>
      </c>
    </row>
  </sheetData>
  <autoFilter ref="A1:F123" xr:uid="{00000000-0009-0000-0000-00000C000000}"/>
  <mergeCells count="1">
    <mergeCell ref="A1: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F739"/>
  <sheetViews>
    <sheetView tabSelected="1" topLeftCell="A2" workbookViewId="0">
      <selection activeCell="D13" sqref="D13"/>
    </sheetView>
  </sheetViews>
  <sheetFormatPr baseColWidth="10" defaultRowHeight="14.4" x14ac:dyDescent="0.3"/>
  <cols>
    <col min="3" max="3" width="39.5546875" style="17" bestFit="1" customWidth="1"/>
    <col min="4" max="4" width="9.6640625" style="17" bestFit="1" customWidth="1"/>
    <col min="6" max="6" width="15.44140625" style="17" bestFit="1" customWidth="1"/>
  </cols>
  <sheetData>
    <row r="1" spans="1:6" ht="28.05" customHeight="1" x14ac:dyDescent="0.3">
      <c r="A1" s="24" t="s">
        <v>209</v>
      </c>
      <c r="B1" s="25"/>
      <c r="C1" s="25"/>
      <c r="D1" s="25"/>
      <c r="E1" s="25"/>
      <c r="F1" s="25"/>
    </row>
    <row r="2" spans="1:6" ht="28.8" customHeight="1" x14ac:dyDescent="0.3">
      <c r="A2" s="5" t="s">
        <v>200</v>
      </c>
      <c r="B2" s="5" t="s">
        <v>59</v>
      </c>
      <c r="C2" s="5" t="s">
        <v>60</v>
      </c>
      <c r="D2" s="5" t="s">
        <v>201</v>
      </c>
      <c r="E2" s="5" t="s">
        <v>210</v>
      </c>
      <c r="F2" s="5" t="s">
        <v>211</v>
      </c>
    </row>
    <row r="3" spans="1:6" x14ac:dyDescent="0.3">
      <c r="A3" s="6" t="e">
        <f>#REF!</f>
        <v>#REF!</v>
      </c>
      <c r="B3" s="1">
        <v>11010001</v>
      </c>
      <c r="C3" s="1" t="s">
        <v>64</v>
      </c>
      <c r="D3" s="17">
        <v>1000</v>
      </c>
      <c r="E3" t="s">
        <v>65</v>
      </c>
      <c r="F3">
        <f>IFERROR(D3*_xlfn.XLOOKUP(B3,MA_ARTICULOS!$A:$A,MA_ARTICULOS!$E:$E,0),"")</f>
        <v>27.777777777777775</v>
      </c>
    </row>
    <row r="4" spans="1:6" x14ac:dyDescent="0.3">
      <c r="A4" s="6" t="e">
        <f>#REF!</f>
        <v>#REF!</v>
      </c>
      <c r="B4" s="1">
        <v>11010002</v>
      </c>
      <c r="C4" s="1" t="s">
        <v>66</v>
      </c>
      <c r="D4" s="23">
        <v>1000</v>
      </c>
      <c r="E4" t="s">
        <v>65</v>
      </c>
      <c r="F4">
        <f>IFERROR(D4*_xlfn.XLOOKUP(B4,MA_ARTICULOS!$A:$A,MA_ARTICULOS!$E:$E,0),"")</f>
        <v>27.777777777777775</v>
      </c>
    </row>
    <row r="5" spans="1:6" x14ac:dyDescent="0.3">
      <c r="A5" s="6" t="e">
        <f>#REF!</f>
        <v>#REF!</v>
      </c>
      <c r="B5" s="1">
        <v>11010003</v>
      </c>
      <c r="C5" s="1" t="s">
        <v>67</v>
      </c>
      <c r="D5" s="23">
        <v>1000</v>
      </c>
      <c r="E5" t="s">
        <v>65</v>
      </c>
      <c r="F5">
        <f>IFERROR(D5*_xlfn.XLOOKUP(B5,MA_ARTICULOS!$A:$A,MA_ARTICULOS!$E:$E,0),"")</f>
        <v>27.777777777777775</v>
      </c>
    </row>
    <row r="6" spans="1:6" x14ac:dyDescent="0.3">
      <c r="A6" s="6" t="e">
        <f>#REF!</f>
        <v>#REF!</v>
      </c>
      <c r="B6" s="1">
        <v>11010004</v>
      </c>
      <c r="C6" s="1" t="s">
        <v>68</v>
      </c>
      <c r="D6" s="23">
        <v>1000</v>
      </c>
      <c r="E6" t="s">
        <v>65</v>
      </c>
      <c r="F6">
        <f>IFERROR(D6*_xlfn.XLOOKUP(B6,MA_ARTICULOS!$A:$A,MA_ARTICULOS!$E:$E,0),"")</f>
        <v>27.777777777777775</v>
      </c>
    </row>
    <row r="7" spans="1:6" x14ac:dyDescent="0.3">
      <c r="A7" s="6" t="e">
        <f>#REF!</f>
        <v>#REF!</v>
      </c>
      <c r="B7" s="1">
        <v>11010005</v>
      </c>
      <c r="C7" s="1" t="s">
        <v>69</v>
      </c>
      <c r="D7" s="23">
        <v>1000</v>
      </c>
      <c r="E7" t="s">
        <v>65</v>
      </c>
      <c r="F7">
        <f>IFERROR(D7*_xlfn.XLOOKUP(B7,MA_ARTICULOS!$A:$A,MA_ARTICULOS!$E:$E,0),"")</f>
        <v>27.777777777777775</v>
      </c>
    </row>
    <row r="8" spans="1:6" x14ac:dyDescent="0.3">
      <c r="A8" s="6" t="e">
        <f>#REF!</f>
        <v>#REF!</v>
      </c>
      <c r="B8" s="1">
        <v>11010007</v>
      </c>
      <c r="C8" s="1" t="s">
        <v>70</v>
      </c>
      <c r="D8" s="23">
        <v>1000</v>
      </c>
      <c r="E8" t="s">
        <v>65</v>
      </c>
      <c r="F8">
        <f>IFERROR(D8*_xlfn.XLOOKUP(B8,MA_ARTICULOS!$A:$A,MA_ARTICULOS!$E:$E,0),"")</f>
        <v>27.777777777777775</v>
      </c>
    </row>
    <row r="9" spans="1:6" x14ac:dyDescent="0.3">
      <c r="A9" s="6" t="e">
        <f>#REF!</f>
        <v>#REF!</v>
      </c>
      <c r="B9" s="1">
        <v>11010008</v>
      </c>
      <c r="C9" s="1" t="s">
        <v>71</v>
      </c>
      <c r="D9" s="23">
        <v>2500</v>
      </c>
      <c r="E9" t="s">
        <v>65</v>
      </c>
      <c r="F9">
        <f>IFERROR(D9*_xlfn.XLOOKUP(B9,MA_ARTICULOS!$A:$A,MA_ARTICULOS!$E:$E,0),"")</f>
        <v>69.444444444444443</v>
      </c>
    </row>
    <row r="10" spans="1:6" x14ac:dyDescent="0.3">
      <c r="A10" s="6" t="e">
        <f>#REF!</f>
        <v>#REF!</v>
      </c>
      <c r="B10" s="1">
        <v>11010009</v>
      </c>
      <c r="C10" s="1" t="s">
        <v>72</v>
      </c>
      <c r="D10" s="23">
        <v>1000</v>
      </c>
      <c r="E10" t="s">
        <v>65</v>
      </c>
      <c r="F10">
        <f>IFERROR(D10*_xlfn.XLOOKUP(B10,MA_ARTICULOS!$A:$A,MA_ARTICULOS!$E:$E,0),"")</f>
        <v>27.777777777777775</v>
      </c>
    </row>
    <row r="11" spans="1:6" x14ac:dyDescent="0.3">
      <c r="A11" s="6" t="e">
        <f>#REF!</f>
        <v>#REF!</v>
      </c>
      <c r="B11" s="1">
        <v>11010010</v>
      </c>
      <c r="C11" s="1" t="s">
        <v>73</v>
      </c>
      <c r="D11" s="23">
        <v>1000</v>
      </c>
      <c r="E11" t="s">
        <v>65</v>
      </c>
      <c r="F11">
        <f>IFERROR(D11*_xlfn.XLOOKUP(B11,MA_ARTICULOS!$A:$A,MA_ARTICULOS!$E:$E,0),"")</f>
        <v>27.777777777777775</v>
      </c>
    </row>
    <row r="12" spans="1:6" x14ac:dyDescent="0.3">
      <c r="A12" s="6" t="e">
        <f>#REF!</f>
        <v>#REF!</v>
      </c>
      <c r="B12" s="1">
        <v>11010011</v>
      </c>
      <c r="C12" s="1" t="s">
        <v>74</v>
      </c>
      <c r="D12" s="23">
        <v>2500</v>
      </c>
      <c r="E12" t="s">
        <v>65</v>
      </c>
      <c r="F12">
        <f>IFERROR(D12*_xlfn.XLOOKUP(B12,MA_ARTICULOS!$A:$A,MA_ARTICULOS!$E:$E,0),"")</f>
        <v>69.444444444444443</v>
      </c>
    </row>
    <row r="13" spans="1:6" x14ac:dyDescent="0.3">
      <c r="A13" s="6" t="e">
        <f>#REF!</f>
        <v>#REF!</v>
      </c>
      <c r="B13" s="1">
        <v>11010013</v>
      </c>
      <c r="C13" s="1" t="s">
        <v>75</v>
      </c>
      <c r="D13" s="23">
        <v>1000</v>
      </c>
      <c r="E13" t="s">
        <v>65</v>
      </c>
      <c r="F13">
        <f>IFERROR(D13*_xlfn.XLOOKUP(B13,MA_ARTICULOS!$A:$A,MA_ARTICULOS!$E:$E,0),"")</f>
        <v>27.777777777777775</v>
      </c>
    </row>
    <row r="14" spans="1:6" x14ac:dyDescent="0.3">
      <c r="A14" s="6" t="e">
        <f>#REF!</f>
        <v>#REF!</v>
      </c>
      <c r="B14" s="1">
        <v>11010014</v>
      </c>
      <c r="C14" s="1" t="s">
        <v>76</v>
      </c>
      <c r="D14" s="23">
        <v>1000</v>
      </c>
      <c r="E14" t="s">
        <v>65</v>
      </c>
      <c r="F14">
        <f>IFERROR(D14*_xlfn.XLOOKUP(B14,MA_ARTICULOS!$A:$A,MA_ARTICULOS!$E:$E,0),"")</f>
        <v>27.777777777777775</v>
      </c>
    </row>
    <row r="15" spans="1:6" x14ac:dyDescent="0.3">
      <c r="A15" s="6" t="e">
        <f>#REF!</f>
        <v>#REF!</v>
      </c>
      <c r="B15" s="1">
        <v>11010015</v>
      </c>
      <c r="C15" s="1" t="s">
        <v>77</v>
      </c>
      <c r="D15" s="23">
        <v>1000</v>
      </c>
      <c r="E15" t="s">
        <v>65</v>
      </c>
      <c r="F15">
        <f>IFERROR(D15*_xlfn.XLOOKUP(B15,MA_ARTICULOS!$A:$A,MA_ARTICULOS!$E:$E,0),"")</f>
        <v>27.777777777777775</v>
      </c>
    </row>
    <row r="16" spans="1:6" x14ac:dyDescent="0.3">
      <c r="A16" s="6" t="e">
        <f>#REF!</f>
        <v>#REF!</v>
      </c>
      <c r="B16" s="1">
        <v>11010018</v>
      </c>
      <c r="C16" s="1" t="s">
        <v>78</v>
      </c>
      <c r="D16" s="23">
        <v>1000</v>
      </c>
      <c r="E16" t="s">
        <v>65</v>
      </c>
      <c r="F16">
        <f>IFERROR(D16*_xlfn.XLOOKUP(B16,MA_ARTICULOS!$A:$A,MA_ARTICULOS!$E:$E,0),"")</f>
        <v>27.777777777777775</v>
      </c>
    </row>
    <row r="17" spans="1:6" x14ac:dyDescent="0.3">
      <c r="A17" s="6" t="e">
        <f>#REF!</f>
        <v>#REF!</v>
      </c>
      <c r="B17" s="1">
        <v>11010019</v>
      </c>
      <c r="C17" s="1" t="s">
        <v>79</v>
      </c>
      <c r="D17" s="23">
        <v>1000</v>
      </c>
      <c r="E17" t="s">
        <v>65</v>
      </c>
      <c r="F17">
        <f>IFERROR(D17*_xlfn.XLOOKUP(B17,MA_ARTICULOS!$A:$A,MA_ARTICULOS!$E:$E,0),"")</f>
        <v>27.777777777777775</v>
      </c>
    </row>
    <row r="18" spans="1:6" x14ac:dyDescent="0.3">
      <c r="A18" s="6" t="e">
        <f>#REF!</f>
        <v>#REF!</v>
      </c>
      <c r="B18" s="1">
        <v>11010020</v>
      </c>
      <c r="C18" s="1" t="s">
        <v>80</v>
      </c>
      <c r="D18" s="23">
        <v>1000</v>
      </c>
      <c r="E18" t="s">
        <v>65</v>
      </c>
      <c r="F18">
        <f>IFERROR(D18*_xlfn.XLOOKUP(B18,MA_ARTICULOS!$A:$A,MA_ARTICULOS!$E:$E,0),"")</f>
        <v>27.777777777777775</v>
      </c>
    </row>
    <row r="19" spans="1:6" x14ac:dyDescent="0.3">
      <c r="A19" s="6" t="e">
        <f>#REF!</f>
        <v>#REF!</v>
      </c>
      <c r="B19" s="1">
        <v>11010022</v>
      </c>
      <c r="C19" s="1" t="s">
        <v>81</v>
      </c>
      <c r="D19" s="23">
        <v>1000</v>
      </c>
      <c r="E19" t="s">
        <v>65</v>
      </c>
      <c r="F19">
        <f>IFERROR(D19*_xlfn.XLOOKUP(B19,MA_ARTICULOS!$A:$A,MA_ARTICULOS!$E:$E,0),"")</f>
        <v>27.777777777777775</v>
      </c>
    </row>
    <row r="20" spans="1:6" x14ac:dyDescent="0.3">
      <c r="A20" s="6" t="e">
        <f>#REF!</f>
        <v>#REF!</v>
      </c>
      <c r="B20" s="1">
        <v>11010023</v>
      </c>
      <c r="C20" s="1" t="s">
        <v>82</v>
      </c>
      <c r="D20" s="23">
        <v>1000</v>
      </c>
      <c r="E20" t="s">
        <v>65</v>
      </c>
      <c r="F20">
        <f>IFERROR(D20*_xlfn.XLOOKUP(B20,MA_ARTICULOS!$A:$A,MA_ARTICULOS!$E:$E,0),"")</f>
        <v>27.777777777777775</v>
      </c>
    </row>
    <row r="21" spans="1:6" x14ac:dyDescent="0.3">
      <c r="A21" s="6" t="e">
        <f>#REF!</f>
        <v>#REF!</v>
      </c>
      <c r="B21" s="1">
        <v>11010027</v>
      </c>
      <c r="C21" s="1" t="s">
        <v>83</v>
      </c>
      <c r="D21" s="23">
        <v>1000</v>
      </c>
      <c r="E21" t="s">
        <v>65</v>
      </c>
      <c r="F21">
        <f>IFERROR(D21*_xlfn.XLOOKUP(B21,MA_ARTICULOS!$A:$A,MA_ARTICULOS!$E:$E,0),"")</f>
        <v>27.777777777777775</v>
      </c>
    </row>
    <row r="22" spans="1:6" x14ac:dyDescent="0.3">
      <c r="A22" s="6" t="e">
        <f>#REF!</f>
        <v>#REF!</v>
      </c>
      <c r="B22" s="1">
        <v>11010201</v>
      </c>
      <c r="C22" s="1" t="s">
        <v>84</v>
      </c>
      <c r="D22" s="23">
        <v>1000</v>
      </c>
      <c r="E22" t="s">
        <v>65</v>
      </c>
      <c r="F22">
        <f>IFERROR(D22*_xlfn.XLOOKUP(B22,MA_ARTICULOS!$A:$A,MA_ARTICULOS!$E:$E,0),"")</f>
        <v>27.777777777777775</v>
      </c>
    </row>
    <row r="23" spans="1:6" x14ac:dyDescent="0.3">
      <c r="A23" s="6" t="e">
        <f>#REF!</f>
        <v>#REF!</v>
      </c>
      <c r="B23" s="1">
        <v>11010202</v>
      </c>
      <c r="C23" s="1" t="s">
        <v>85</v>
      </c>
      <c r="D23" s="23">
        <v>1000</v>
      </c>
      <c r="E23" t="s">
        <v>65</v>
      </c>
      <c r="F23">
        <f>IFERROR(D23*_xlfn.XLOOKUP(B23,MA_ARTICULOS!$A:$A,MA_ARTICULOS!$E:$E,0),"")</f>
        <v>27.777777777777775</v>
      </c>
    </row>
    <row r="24" spans="1:6" x14ac:dyDescent="0.3">
      <c r="A24" s="6" t="e">
        <f>#REF!</f>
        <v>#REF!</v>
      </c>
      <c r="B24" s="1">
        <v>11010203</v>
      </c>
      <c r="C24" s="1" t="s">
        <v>86</v>
      </c>
      <c r="D24" s="23">
        <v>1000</v>
      </c>
      <c r="E24" t="s">
        <v>65</v>
      </c>
      <c r="F24">
        <f>IFERROR(D24*_xlfn.XLOOKUP(B24,MA_ARTICULOS!$A:$A,MA_ARTICULOS!$E:$E,0),"")</f>
        <v>27.777777777777775</v>
      </c>
    </row>
    <row r="25" spans="1:6" x14ac:dyDescent="0.3">
      <c r="A25" s="6" t="e">
        <f>#REF!</f>
        <v>#REF!</v>
      </c>
      <c r="B25" s="1">
        <v>11010204</v>
      </c>
      <c r="C25" s="1" t="s">
        <v>87</v>
      </c>
      <c r="D25" s="23">
        <v>1000</v>
      </c>
      <c r="E25" t="s">
        <v>65</v>
      </c>
      <c r="F25">
        <f>IFERROR(D25*_xlfn.XLOOKUP(B25,MA_ARTICULOS!$A:$A,MA_ARTICULOS!$E:$E,0),"")</f>
        <v>27.777777777777775</v>
      </c>
    </row>
    <row r="26" spans="1:6" x14ac:dyDescent="0.3">
      <c r="A26" s="6" t="e">
        <f>#REF!</f>
        <v>#REF!</v>
      </c>
      <c r="B26" s="1">
        <v>11010301</v>
      </c>
      <c r="C26" s="1" t="s">
        <v>88</v>
      </c>
      <c r="D26" s="23">
        <v>1000</v>
      </c>
      <c r="E26" t="s">
        <v>65</v>
      </c>
      <c r="F26">
        <f>IFERROR(D26*_xlfn.XLOOKUP(B26,MA_ARTICULOS!$A:$A,MA_ARTICULOS!$E:$E,0),"")</f>
        <v>27.777777777777775</v>
      </c>
    </row>
    <row r="27" spans="1:6" x14ac:dyDescent="0.3">
      <c r="A27" s="6" t="e">
        <f>#REF!</f>
        <v>#REF!</v>
      </c>
      <c r="B27" s="1">
        <v>11010302</v>
      </c>
      <c r="C27" s="1" t="s">
        <v>89</v>
      </c>
      <c r="D27" s="23">
        <v>1000</v>
      </c>
      <c r="E27" t="s">
        <v>65</v>
      </c>
      <c r="F27">
        <f>IFERROR(D27*_xlfn.XLOOKUP(B27,MA_ARTICULOS!$A:$A,MA_ARTICULOS!$E:$E,0),"")</f>
        <v>27.777777777777775</v>
      </c>
    </row>
    <row r="28" spans="1:6" x14ac:dyDescent="0.3">
      <c r="A28" s="6" t="e">
        <f>#REF!</f>
        <v>#REF!</v>
      </c>
      <c r="B28" s="1">
        <v>11010303</v>
      </c>
      <c r="C28" s="1" t="s">
        <v>90</v>
      </c>
      <c r="D28" s="23">
        <v>1000</v>
      </c>
      <c r="E28" t="s">
        <v>65</v>
      </c>
      <c r="F28">
        <f>IFERROR(D28*_xlfn.XLOOKUP(B28,MA_ARTICULOS!$A:$A,MA_ARTICULOS!$E:$E,0),"")</f>
        <v>27.777777777777775</v>
      </c>
    </row>
    <row r="29" spans="1:6" x14ac:dyDescent="0.3">
      <c r="A29" s="6" t="e">
        <f>#REF!</f>
        <v>#REF!</v>
      </c>
      <c r="B29" s="1">
        <v>11010304</v>
      </c>
      <c r="C29" s="1" t="s">
        <v>91</v>
      </c>
      <c r="D29" s="23">
        <v>1000</v>
      </c>
      <c r="E29" t="s">
        <v>65</v>
      </c>
      <c r="F29">
        <f>IFERROR(D29*_xlfn.XLOOKUP(B29,MA_ARTICULOS!$A:$A,MA_ARTICULOS!$E:$E,0),"")</f>
        <v>27.777777777777775</v>
      </c>
    </row>
    <row r="30" spans="1:6" x14ac:dyDescent="0.3">
      <c r="A30" s="6" t="e">
        <f>#REF!</f>
        <v>#REF!</v>
      </c>
      <c r="B30" s="1">
        <v>11010305</v>
      </c>
      <c r="C30" s="1" t="s">
        <v>92</v>
      </c>
      <c r="D30" s="23">
        <v>1000</v>
      </c>
      <c r="E30" t="s">
        <v>65</v>
      </c>
      <c r="F30">
        <f>IFERROR(D30*_xlfn.XLOOKUP(B30,MA_ARTICULOS!$A:$A,MA_ARTICULOS!$E:$E,0),"")</f>
        <v>27.777777777777775</v>
      </c>
    </row>
    <row r="31" spans="1:6" x14ac:dyDescent="0.3">
      <c r="A31" s="6" t="e">
        <f>#REF!</f>
        <v>#REF!</v>
      </c>
      <c r="B31" s="1">
        <v>11010306</v>
      </c>
      <c r="C31" s="1" t="s">
        <v>93</v>
      </c>
      <c r="D31" s="23">
        <v>1000</v>
      </c>
      <c r="E31" t="s">
        <v>65</v>
      </c>
      <c r="F31">
        <f>IFERROR(D31*_xlfn.XLOOKUP(B31,MA_ARTICULOS!$A:$A,MA_ARTICULOS!$E:$E,0),"")</f>
        <v>27.777777777777775</v>
      </c>
    </row>
    <row r="32" spans="1:6" x14ac:dyDescent="0.3">
      <c r="A32" s="6" t="e">
        <f>#REF!</f>
        <v>#REF!</v>
      </c>
      <c r="B32" s="1">
        <v>11010307</v>
      </c>
      <c r="C32" s="1" t="s">
        <v>94</v>
      </c>
      <c r="D32" s="23">
        <v>1000</v>
      </c>
      <c r="E32" t="s">
        <v>65</v>
      </c>
      <c r="F32">
        <f>IFERROR(D32*_xlfn.XLOOKUP(B32,MA_ARTICULOS!$A:$A,MA_ARTICULOS!$E:$E,0),"")</f>
        <v>27.777777777777775</v>
      </c>
    </row>
    <row r="33" spans="1:6" x14ac:dyDescent="0.3">
      <c r="A33" s="6" t="e">
        <f>#REF!</f>
        <v>#REF!</v>
      </c>
      <c r="B33" s="1">
        <v>11010308</v>
      </c>
      <c r="C33" s="1" t="s">
        <v>95</v>
      </c>
      <c r="D33" s="23">
        <v>1000</v>
      </c>
      <c r="E33" t="s">
        <v>65</v>
      </c>
      <c r="F33">
        <f>IFERROR(D33*_xlfn.XLOOKUP(B33,MA_ARTICULOS!$A:$A,MA_ARTICULOS!$E:$E,0),"")</f>
        <v>27.777777777777775</v>
      </c>
    </row>
    <row r="34" spans="1:6" x14ac:dyDescent="0.3">
      <c r="A34" s="6" t="e">
        <f>#REF!</f>
        <v>#REF!</v>
      </c>
      <c r="B34" s="1">
        <v>11010309</v>
      </c>
      <c r="C34" s="1" t="s">
        <v>96</v>
      </c>
      <c r="D34" s="23">
        <v>1000</v>
      </c>
      <c r="E34" t="s">
        <v>65</v>
      </c>
      <c r="F34">
        <f>IFERROR(D34*_xlfn.XLOOKUP(B34,MA_ARTICULOS!$A:$A,MA_ARTICULOS!$E:$E,0),"")</f>
        <v>27.777777777777775</v>
      </c>
    </row>
    <row r="35" spans="1:6" x14ac:dyDescent="0.3">
      <c r="A35" s="6" t="e">
        <f>#REF!</f>
        <v>#REF!</v>
      </c>
      <c r="B35" s="1">
        <v>11020001</v>
      </c>
      <c r="C35" s="1" t="s">
        <v>97</v>
      </c>
      <c r="D35" s="23">
        <v>1000</v>
      </c>
      <c r="E35" t="s">
        <v>65</v>
      </c>
      <c r="F35">
        <f>IFERROR(D35*_xlfn.XLOOKUP(B35,MA_ARTICULOS!$A:$A,MA_ARTICULOS!$E:$E,0),"")</f>
        <v>27.777777777777775</v>
      </c>
    </row>
    <row r="36" spans="1:6" x14ac:dyDescent="0.3">
      <c r="A36" s="6" t="e">
        <f>#REF!</f>
        <v>#REF!</v>
      </c>
      <c r="B36" s="1">
        <v>11020002</v>
      </c>
      <c r="C36" s="1" t="s">
        <v>98</v>
      </c>
      <c r="D36" s="23">
        <v>1000</v>
      </c>
      <c r="E36" t="s">
        <v>65</v>
      </c>
      <c r="F36">
        <f>IFERROR(D36*_xlfn.XLOOKUP(B36,MA_ARTICULOS!$A:$A,MA_ARTICULOS!$E:$E,0),"")</f>
        <v>27.777777777777775</v>
      </c>
    </row>
    <row r="37" spans="1:6" x14ac:dyDescent="0.3">
      <c r="A37" s="6" t="e">
        <f>#REF!</f>
        <v>#REF!</v>
      </c>
      <c r="B37" s="1">
        <v>11020003</v>
      </c>
      <c r="C37" s="1" t="s">
        <v>99</v>
      </c>
      <c r="D37" s="23">
        <v>1000</v>
      </c>
      <c r="E37" t="s">
        <v>65</v>
      </c>
      <c r="F37">
        <f>IFERROR(D37*_xlfn.XLOOKUP(B37,MA_ARTICULOS!$A:$A,MA_ARTICULOS!$E:$E,0),"")</f>
        <v>27.777777777777775</v>
      </c>
    </row>
    <row r="38" spans="1:6" x14ac:dyDescent="0.3">
      <c r="A38" s="6" t="e">
        <f>#REF!</f>
        <v>#REF!</v>
      </c>
      <c r="B38" s="1">
        <v>11020004</v>
      </c>
      <c r="C38" s="1" t="s">
        <v>100</v>
      </c>
      <c r="D38" s="23">
        <v>1000</v>
      </c>
      <c r="E38" t="s">
        <v>65</v>
      </c>
      <c r="F38">
        <f>IFERROR(D38*_xlfn.XLOOKUP(B38,MA_ARTICULOS!$A:$A,MA_ARTICULOS!$E:$E,0),"")</f>
        <v>27.777777777777775</v>
      </c>
    </row>
    <row r="39" spans="1:6" x14ac:dyDescent="0.3">
      <c r="A39" s="6" t="e">
        <f>#REF!</f>
        <v>#REF!</v>
      </c>
      <c r="B39" s="1">
        <v>11020005</v>
      </c>
      <c r="C39" s="1" t="s">
        <v>101</v>
      </c>
      <c r="D39" s="23">
        <v>1000</v>
      </c>
      <c r="E39" t="s">
        <v>65</v>
      </c>
      <c r="F39">
        <f>IFERROR(D39*_xlfn.XLOOKUP(B39,MA_ARTICULOS!$A:$A,MA_ARTICULOS!$E:$E,0),"")</f>
        <v>27.777777777777775</v>
      </c>
    </row>
    <row r="40" spans="1:6" x14ac:dyDescent="0.3">
      <c r="A40" s="6" t="e">
        <f>#REF!</f>
        <v>#REF!</v>
      </c>
      <c r="B40" s="1">
        <v>11020006</v>
      </c>
      <c r="C40" s="1" t="s">
        <v>102</v>
      </c>
      <c r="D40" s="23">
        <v>1000</v>
      </c>
      <c r="E40" t="s">
        <v>65</v>
      </c>
      <c r="F40">
        <f>IFERROR(D40*_xlfn.XLOOKUP(B40,MA_ARTICULOS!$A:$A,MA_ARTICULOS!$E:$E,0),"")</f>
        <v>27.777777777777775</v>
      </c>
    </row>
    <row r="41" spans="1:6" x14ac:dyDescent="0.3">
      <c r="A41" s="6" t="e">
        <f>#REF!</f>
        <v>#REF!</v>
      </c>
      <c r="B41" s="1">
        <v>11020007</v>
      </c>
      <c r="C41" s="1" t="s">
        <v>103</v>
      </c>
      <c r="D41" s="23">
        <v>1000</v>
      </c>
      <c r="E41" t="s">
        <v>65</v>
      </c>
      <c r="F41">
        <f>IFERROR(D41*_xlfn.XLOOKUP(B41,MA_ARTICULOS!$A:$A,MA_ARTICULOS!$E:$E,0),"")</f>
        <v>27.777777777777775</v>
      </c>
    </row>
    <row r="42" spans="1:6" x14ac:dyDescent="0.3">
      <c r="A42" s="6" t="e">
        <f>#REF!</f>
        <v>#REF!</v>
      </c>
      <c r="B42" s="1">
        <v>11020008</v>
      </c>
      <c r="C42" s="1" t="s">
        <v>104</v>
      </c>
      <c r="D42" s="23">
        <v>1000</v>
      </c>
      <c r="E42" t="s">
        <v>65</v>
      </c>
      <c r="F42">
        <f>IFERROR(D42*_xlfn.XLOOKUP(B42,MA_ARTICULOS!$A:$A,MA_ARTICULOS!$E:$E,0),"")</f>
        <v>27.777777777777775</v>
      </c>
    </row>
    <row r="43" spans="1:6" x14ac:dyDescent="0.3">
      <c r="A43" s="6" t="e">
        <f>#REF!</f>
        <v>#REF!</v>
      </c>
      <c r="B43" s="1">
        <v>11020009</v>
      </c>
      <c r="C43" s="1" t="s">
        <v>105</v>
      </c>
      <c r="D43" s="23">
        <v>1000</v>
      </c>
      <c r="E43" t="s">
        <v>65</v>
      </c>
      <c r="F43">
        <f>IFERROR(D43*_xlfn.XLOOKUP(B43,MA_ARTICULOS!$A:$A,MA_ARTICULOS!$E:$E,0),"")</f>
        <v>27.777777777777775</v>
      </c>
    </row>
    <row r="44" spans="1:6" x14ac:dyDescent="0.3">
      <c r="A44" s="6" t="e">
        <f>#REF!</f>
        <v>#REF!</v>
      </c>
      <c r="B44" s="1">
        <v>11020010</v>
      </c>
      <c r="C44" s="1" t="s">
        <v>106</v>
      </c>
      <c r="D44" s="23">
        <v>1000</v>
      </c>
      <c r="E44" t="s">
        <v>65</v>
      </c>
      <c r="F44">
        <f>IFERROR(D44*_xlfn.XLOOKUP(B44,MA_ARTICULOS!$A:$A,MA_ARTICULOS!$E:$E,0),"")</f>
        <v>27.777777777777775</v>
      </c>
    </row>
    <row r="45" spans="1:6" x14ac:dyDescent="0.3">
      <c r="A45" s="6" t="e">
        <f>#REF!</f>
        <v>#REF!</v>
      </c>
      <c r="B45" s="1">
        <v>11020014</v>
      </c>
      <c r="C45" s="1" t="s">
        <v>107</v>
      </c>
      <c r="D45" s="23">
        <v>1000</v>
      </c>
      <c r="E45" t="s">
        <v>65</v>
      </c>
      <c r="F45">
        <f>IFERROR(D45*_xlfn.XLOOKUP(B45,MA_ARTICULOS!$A:$A,MA_ARTICULOS!$E:$E,0),"")</f>
        <v>27.777777777777775</v>
      </c>
    </row>
    <row r="46" spans="1:6" x14ac:dyDescent="0.3">
      <c r="A46" s="6" t="e">
        <f>#REF!</f>
        <v>#REF!</v>
      </c>
      <c r="B46" s="1">
        <v>11020015</v>
      </c>
      <c r="C46" s="1" t="s">
        <v>108</v>
      </c>
      <c r="D46" s="23">
        <v>1000</v>
      </c>
      <c r="E46" t="s">
        <v>65</v>
      </c>
      <c r="F46">
        <f>IFERROR(D46*_xlfn.XLOOKUP(B46,MA_ARTICULOS!$A:$A,MA_ARTICULOS!$E:$E,0),"")</f>
        <v>27.777777777777775</v>
      </c>
    </row>
    <row r="47" spans="1:6" x14ac:dyDescent="0.3">
      <c r="A47" s="6" t="e">
        <f>#REF!</f>
        <v>#REF!</v>
      </c>
      <c r="B47" s="1">
        <v>11020016</v>
      </c>
      <c r="C47" s="1" t="s">
        <v>109</v>
      </c>
      <c r="D47" s="23">
        <v>1000</v>
      </c>
      <c r="E47" t="s">
        <v>65</v>
      </c>
      <c r="F47">
        <f>IFERROR(D47*_xlfn.XLOOKUP(B47,MA_ARTICULOS!$A:$A,MA_ARTICULOS!$E:$E,0),"")</f>
        <v>27.777777777777775</v>
      </c>
    </row>
    <row r="48" spans="1:6" x14ac:dyDescent="0.3">
      <c r="A48" s="6" t="e">
        <f>#REF!</f>
        <v>#REF!</v>
      </c>
      <c r="B48" s="1">
        <v>12040001</v>
      </c>
      <c r="C48" s="1" t="s">
        <v>110</v>
      </c>
      <c r="D48" s="23">
        <v>1000</v>
      </c>
      <c r="E48" t="s">
        <v>65</v>
      </c>
      <c r="F48">
        <f>IFERROR(D48*_xlfn.XLOOKUP(B48,MA_ARTICULOS!$A:$A,MA_ARTICULOS!$E:$E,0),"")</f>
        <v>20</v>
      </c>
    </row>
    <row r="49" spans="1:6" x14ac:dyDescent="0.3">
      <c r="A49" s="6" t="e">
        <f>#REF!</f>
        <v>#REF!</v>
      </c>
      <c r="B49" s="1">
        <v>12040002</v>
      </c>
      <c r="C49" s="1" t="s">
        <v>111</v>
      </c>
      <c r="D49" s="23">
        <v>1000</v>
      </c>
      <c r="E49" t="s">
        <v>65</v>
      </c>
      <c r="F49">
        <f>IFERROR(D49*_xlfn.XLOOKUP(B49,MA_ARTICULOS!$A:$A,MA_ARTICULOS!$E:$E,0),"")</f>
        <v>20</v>
      </c>
    </row>
    <row r="50" spans="1:6" x14ac:dyDescent="0.3">
      <c r="A50" s="6" t="e">
        <f>#REF!</f>
        <v>#REF!</v>
      </c>
      <c r="B50" s="1">
        <v>12080001</v>
      </c>
      <c r="C50" s="1" t="s">
        <v>112</v>
      </c>
      <c r="D50" s="23">
        <v>1000</v>
      </c>
      <c r="E50" t="s">
        <v>65</v>
      </c>
      <c r="F50">
        <f>IFERROR(D50*_xlfn.XLOOKUP(B50,MA_ARTICULOS!$A:$A,MA_ARTICULOS!$E:$E,0),"")</f>
        <v>27.777777777777775</v>
      </c>
    </row>
    <row r="51" spans="1:6" x14ac:dyDescent="0.3">
      <c r="A51" s="6" t="e">
        <f>#REF!</f>
        <v>#REF!</v>
      </c>
      <c r="B51" s="1">
        <v>12080002</v>
      </c>
      <c r="C51" s="1" t="s">
        <v>113</v>
      </c>
      <c r="D51" s="23">
        <v>1000</v>
      </c>
      <c r="E51" t="s">
        <v>65</v>
      </c>
      <c r="F51">
        <f>IFERROR(D51*_xlfn.XLOOKUP(B51,MA_ARTICULOS!$A:$A,MA_ARTICULOS!$E:$E,0),"")</f>
        <v>27.777777777777775</v>
      </c>
    </row>
    <row r="52" spans="1:6" x14ac:dyDescent="0.3">
      <c r="A52" s="6" t="e">
        <f>#REF!</f>
        <v>#REF!</v>
      </c>
      <c r="B52" s="1">
        <v>12080003</v>
      </c>
      <c r="C52" s="1" t="s">
        <v>114</v>
      </c>
      <c r="D52" s="23">
        <v>1000</v>
      </c>
      <c r="E52" t="s">
        <v>65</v>
      </c>
      <c r="F52">
        <f>IFERROR(D52*_xlfn.XLOOKUP(B52,MA_ARTICULOS!$A:$A,MA_ARTICULOS!$E:$E,0),"")</f>
        <v>27.777777777777775</v>
      </c>
    </row>
    <row r="53" spans="1:6" x14ac:dyDescent="0.3">
      <c r="A53" s="6" t="e">
        <f>#REF!</f>
        <v>#REF!</v>
      </c>
      <c r="B53" s="1">
        <v>13010007</v>
      </c>
      <c r="C53" s="1" t="s">
        <v>115</v>
      </c>
      <c r="D53" s="23">
        <v>1000</v>
      </c>
      <c r="E53" t="s">
        <v>65</v>
      </c>
      <c r="F53">
        <f>IFERROR(D53*_xlfn.XLOOKUP(B53,MA_ARTICULOS!$A:$A,MA_ARTICULOS!$E:$E,0),"")</f>
        <v>12.345679012345679</v>
      </c>
    </row>
    <row r="54" spans="1:6" x14ac:dyDescent="0.3">
      <c r="A54" s="6" t="e">
        <f>#REF!</f>
        <v>#REF!</v>
      </c>
      <c r="B54" s="1">
        <v>13010008</v>
      </c>
      <c r="C54" s="1" t="s">
        <v>116</v>
      </c>
      <c r="D54" s="23">
        <v>1000</v>
      </c>
      <c r="E54" t="s">
        <v>65</v>
      </c>
      <c r="F54">
        <f>IFERROR(D54*_xlfn.XLOOKUP(B54,MA_ARTICULOS!$A:$A,MA_ARTICULOS!$E:$E,0),"")</f>
        <v>12.345679012345679</v>
      </c>
    </row>
    <row r="55" spans="1:6" x14ac:dyDescent="0.3">
      <c r="A55" s="6" t="e">
        <f>#REF!</f>
        <v>#REF!</v>
      </c>
      <c r="B55" s="1">
        <v>13019001</v>
      </c>
      <c r="C55" s="1" t="s">
        <v>117</v>
      </c>
      <c r="D55" s="23">
        <v>1000</v>
      </c>
      <c r="E55" t="s">
        <v>65</v>
      </c>
      <c r="F55">
        <f>IFERROR(D55*_xlfn.XLOOKUP(B55,MA_ARTICULOS!$A:$A,MA_ARTICULOS!$E:$E,0),"")</f>
        <v>12.345679012345679</v>
      </c>
    </row>
    <row r="56" spans="1:6" x14ac:dyDescent="0.3">
      <c r="A56" s="6" t="e">
        <f>#REF!</f>
        <v>#REF!</v>
      </c>
      <c r="B56" s="1">
        <v>13019002</v>
      </c>
      <c r="C56" s="1" t="s">
        <v>118</v>
      </c>
      <c r="D56" s="23">
        <v>1000</v>
      </c>
      <c r="E56" t="s">
        <v>65</v>
      </c>
      <c r="F56">
        <f>IFERROR(D56*_xlfn.XLOOKUP(B56,MA_ARTICULOS!$A:$A,MA_ARTICULOS!$E:$E,0),"")</f>
        <v>12.345679012345679</v>
      </c>
    </row>
    <row r="57" spans="1:6" x14ac:dyDescent="0.3">
      <c r="A57" s="6" t="e">
        <f>#REF!</f>
        <v>#REF!</v>
      </c>
      <c r="B57" s="1">
        <v>13019003</v>
      </c>
      <c r="C57" s="1" t="s">
        <v>119</v>
      </c>
      <c r="D57" s="23">
        <v>1000</v>
      </c>
      <c r="E57" t="s">
        <v>65</v>
      </c>
      <c r="F57">
        <f>IFERROR(D57*_xlfn.XLOOKUP(B57,MA_ARTICULOS!$A:$A,MA_ARTICULOS!$E:$E,0),"")</f>
        <v>12.345679012345679</v>
      </c>
    </row>
    <row r="58" spans="1:6" x14ac:dyDescent="0.3">
      <c r="A58" s="6" t="e">
        <f>#REF!</f>
        <v>#REF!</v>
      </c>
      <c r="B58" s="1">
        <v>13019004</v>
      </c>
      <c r="C58" s="1" t="s">
        <v>120</v>
      </c>
      <c r="D58" s="23">
        <v>1000</v>
      </c>
      <c r="E58" t="s">
        <v>65</v>
      </c>
      <c r="F58">
        <f>IFERROR(D58*_xlfn.XLOOKUP(B58,MA_ARTICULOS!$A:$A,MA_ARTICULOS!$E:$E,0),"")</f>
        <v>12.345679012345679</v>
      </c>
    </row>
    <row r="59" spans="1:6" x14ac:dyDescent="0.3">
      <c r="A59" s="6" t="e">
        <f>#REF!</f>
        <v>#REF!</v>
      </c>
      <c r="B59" s="1">
        <v>13019005</v>
      </c>
      <c r="C59" s="1" t="s">
        <v>121</v>
      </c>
      <c r="D59" s="23">
        <v>1000</v>
      </c>
      <c r="E59" t="s">
        <v>65</v>
      </c>
      <c r="F59">
        <f>IFERROR(D59*_xlfn.XLOOKUP(B59,MA_ARTICULOS!$A:$A,MA_ARTICULOS!$E:$E,0),"")</f>
        <v>12.345679012345679</v>
      </c>
    </row>
    <row r="60" spans="1:6" x14ac:dyDescent="0.3">
      <c r="A60" s="6" t="e">
        <f>#REF!</f>
        <v>#REF!</v>
      </c>
      <c r="B60" s="1">
        <v>13019007</v>
      </c>
      <c r="C60" s="1" t="s">
        <v>122</v>
      </c>
      <c r="D60" s="23">
        <v>1000</v>
      </c>
      <c r="E60" t="s">
        <v>65</v>
      </c>
      <c r="F60">
        <f>IFERROR(D60*_xlfn.XLOOKUP(B60,MA_ARTICULOS!$A:$A,MA_ARTICULOS!$E:$E,0),"")</f>
        <v>12.345679012345679</v>
      </c>
    </row>
    <row r="61" spans="1:6" x14ac:dyDescent="0.3">
      <c r="A61" s="6" t="e">
        <f>#REF!</f>
        <v>#REF!</v>
      </c>
      <c r="B61" s="1">
        <v>13019008</v>
      </c>
      <c r="C61" s="1" t="s">
        <v>123</v>
      </c>
      <c r="D61" s="23">
        <v>1000</v>
      </c>
      <c r="E61" t="s">
        <v>65</v>
      </c>
      <c r="F61">
        <f>IFERROR(D61*_xlfn.XLOOKUP(B61,MA_ARTICULOS!$A:$A,MA_ARTICULOS!$E:$E,0),"")</f>
        <v>12.345679012345679</v>
      </c>
    </row>
    <row r="62" spans="1:6" x14ac:dyDescent="0.3">
      <c r="A62" s="6" t="e">
        <f>#REF!</f>
        <v>#REF!</v>
      </c>
      <c r="B62" s="1">
        <v>13020004</v>
      </c>
      <c r="C62" s="1" t="s">
        <v>124</v>
      </c>
      <c r="D62" s="23">
        <v>1500</v>
      </c>
      <c r="E62" t="s">
        <v>65</v>
      </c>
      <c r="F62">
        <f>IFERROR(D62*_xlfn.XLOOKUP(B62,MA_ARTICULOS!$A:$A,MA_ARTICULOS!$E:$E,0),"")</f>
        <v>18.518518518518519</v>
      </c>
    </row>
    <row r="63" spans="1:6" x14ac:dyDescent="0.3">
      <c r="A63" s="6" t="e">
        <f>#REF!</f>
        <v>#REF!</v>
      </c>
      <c r="B63" s="1">
        <v>13020005</v>
      </c>
      <c r="C63" s="1" t="s">
        <v>125</v>
      </c>
      <c r="D63" s="23">
        <v>1000</v>
      </c>
      <c r="E63" t="s">
        <v>65</v>
      </c>
      <c r="F63">
        <f>IFERROR(D63*_xlfn.XLOOKUP(B63,MA_ARTICULOS!$A:$A,MA_ARTICULOS!$E:$E,0),"")</f>
        <v>12.345679012345679</v>
      </c>
    </row>
    <row r="64" spans="1:6" x14ac:dyDescent="0.3">
      <c r="A64" s="6" t="e">
        <f>#REF!</f>
        <v>#REF!</v>
      </c>
      <c r="B64" s="1">
        <v>13040001</v>
      </c>
      <c r="C64" s="1" t="s">
        <v>126</v>
      </c>
      <c r="D64" s="23">
        <v>1000</v>
      </c>
      <c r="E64" t="s">
        <v>65</v>
      </c>
      <c r="F64">
        <f>IFERROR(D64*_xlfn.XLOOKUP(B64,MA_ARTICULOS!$A:$A,MA_ARTICULOS!$E:$E,0),"")</f>
        <v>12.345679012345679</v>
      </c>
    </row>
    <row r="65" spans="1:6" x14ac:dyDescent="0.3">
      <c r="A65" s="6" t="e">
        <f>#REF!</f>
        <v>#REF!</v>
      </c>
      <c r="B65" s="1">
        <v>13040002</v>
      </c>
      <c r="C65" s="1" t="s">
        <v>127</v>
      </c>
      <c r="D65" s="23">
        <v>1000</v>
      </c>
      <c r="E65" t="s">
        <v>65</v>
      </c>
      <c r="F65">
        <f>IFERROR(D65*_xlfn.XLOOKUP(B65,MA_ARTICULOS!$A:$A,MA_ARTICULOS!$E:$E,0),"")</f>
        <v>12.345679012345679</v>
      </c>
    </row>
    <row r="66" spans="1:6" x14ac:dyDescent="0.3">
      <c r="A66" s="6" t="e">
        <f>#REF!</f>
        <v>#REF!</v>
      </c>
      <c r="B66" s="1">
        <v>13040003</v>
      </c>
      <c r="C66" s="1" t="s">
        <v>128</v>
      </c>
      <c r="D66" s="23">
        <v>1000</v>
      </c>
      <c r="E66" t="s">
        <v>65</v>
      </c>
      <c r="F66">
        <f>IFERROR(D66*_xlfn.XLOOKUP(B66,MA_ARTICULOS!$A:$A,MA_ARTICULOS!$E:$E,0),"")</f>
        <v>12.345679012345679</v>
      </c>
    </row>
    <row r="67" spans="1:6" x14ac:dyDescent="0.3">
      <c r="A67" s="6" t="e">
        <f>#REF!</f>
        <v>#REF!</v>
      </c>
      <c r="B67" s="1">
        <v>13040004</v>
      </c>
      <c r="C67" s="1" t="s">
        <v>129</v>
      </c>
      <c r="D67" s="23">
        <v>1000</v>
      </c>
      <c r="E67" t="s">
        <v>65</v>
      </c>
      <c r="F67">
        <f>IFERROR(D67*_xlfn.XLOOKUP(B67,MA_ARTICULOS!$A:$A,MA_ARTICULOS!$E:$E,0),"")</f>
        <v>12.345679012345679</v>
      </c>
    </row>
    <row r="68" spans="1:6" x14ac:dyDescent="0.3">
      <c r="A68" s="6" t="e">
        <f>#REF!</f>
        <v>#REF!</v>
      </c>
      <c r="B68" s="1">
        <v>13040005</v>
      </c>
      <c r="C68" s="1" t="s">
        <v>130</v>
      </c>
      <c r="D68" s="23">
        <v>1000</v>
      </c>
      <c r="E68" t="s">
        <v>65</v>
      </c>
      <c r="F68">
        <f>IFERROR(D68*_xlfn.XLOOKUP(B68,MA_ARTICULOS!$A:$A,MA_ARTICULOS!$E:$E,0),"")</f>
        <v>12.345679012345679</v>
      </c>
    </row>
    <row r="69" spans="1:6" x14ac:dyDescent="0.3">
      <c r="A69" s="6" t="e">
        <f>#REF!</f>
        <v>#REF!</v>
      </c>
      <c r="B69" s="1">
        <v>13040006</v>
      </c>
      <c r="C69" s="1" t="s">
        <v>131</v>
      </c>
      <c r="D69" s="23">
        <v>1000</v>
      </c>
      <c r="E69" t="s">
        <v>65</v>
      </c>
      <c r="F69">
        <f>IFERROR(D69*_xlfn.XLOOKUP(B69,MA_ARTICULOS!$A:$A,MA_ARTICULOS!$E:$E,0),"")</f>
        <v>12.345679012345679</v>
      </c>
    </row>
    <row r="70" spans="1:6" x14ac:dyDescent="0.3">
      <c r="A70" s="6" t="e">
        <f>#REF!</f>
        <v>#REF!</v>
      </c>
      <c r="B70" s="1">
        <v>13040007</v>
      </c>
      <c r="C70" s="1" t="s">
        <v>132</v>
      </c>
      <c r="D70" s="23">
        <v>1000</v>
      </c>
      <c r="E70" t="s">
        <v>65</v>
      </c>
      <c r="F70">
        <f>IFERROR(D70*_xlfn.XLOOKUP(B70,MA_ARTICULOS!$A:$A,MA_ARTICULOS!$E:$E,0),"")</f>
        <v>12.345679012345679</v>
      </c>
    </row>
    <row r="71" spans="1:6" x14ac:dyDescent="0.3">
      <c r="A71" s="6" t="e">
        <f>#REF!</f>
        <v>#REF!</v>
      </c>
      <c r="B71" s="1">
        <v>13040008</v>
      </c>
      <c r="C71" s="1" t="s">
        <v>133</v>
      </c>
      <c r="D71" s="23">
        <v>1000</v>
      </c>
      <c r="E71" t="s">
        <v>65</v>
      </c>
      <c r="F71">
        <f>IFERROR(D71*_xlfn.XLOOKUP(B71,MA_ARTICULOS!$A:$A,MA_ARTICULOS!$E:$E,0),"")</f>
        <v>12.345679012345679</v>
      </c>
    </row>
    <row r="72" spans="1:6" x14ac:dyDescent="0.3">
      <c r="A72" s="6" t="e">
        <f>#REF!</f>
        <v>#REF!</v>
      </c>
      <c r="B72" s="1">
        <v>13040009</v>
      </c>
      <c r="C72" s="1" t="s">
        <v>134</v>
      </c>
      <c r="D72" s="23">
        <v>1000</v>
      </c>
      <c r="E72" t="s">
        <v>65</v>
      </c>
      <c r="F72">
        <f>IFERROR(D72*_xlfn.XLOOKUP(B72,MA_ARTICULOS!$A:$A,MA_ARTICULOS!$E:$E,0),"")</f>
        <v>12.345679012345679</v>
      </c>
    </row>
    <row r="73" spans="1:6" x14ac:dyDescent="0.3">
      <c r="A73" s="6" t="e">
        <f>#REF!</f>
        <v>#REF!</v>
      </c>
      <c r="B73" s="1">
        <v>13040010</v>
      </c>
      <c r="C73" s="1" t="s">
        <v>135</v>
      </c>
      <c r="D73" s="23">
        <v>1000</v>
      </c>
      <c r="E73" t="s">
        <v>65</v>
      </c>
      <c r="F73">
        <f>IFERROR(D73*_xlfn.XLOOKUP(B73,MA_ARTICULOS!$A:$A,MA_ARTICULOS!$E:$E,0),"")</f>
        <v>12.345679012345679</v>
      </c>
    </row>
    <row r="74" spans="1:6" x14ac:dyDescent="0.3">
      <c r="A74" s="6" t="e">
        <f>#REF!</f>
        <v>#REF!</v>
      </c>
      <c r="B74" s="1">
        <v>13040011</v>
      </c>
      <c r="C74" s="1" t="s">
        <v>136</v>
      </c>
      <c r="D74" s="23">
        <v>1000</v>
      </c>
      <c r="E74" t="s">
        <v>65</v>
      </c>
      <c r="F74">
        <f>IFERROR(D74*_xlfn.XLOOKUP(B74,MA_ARTICULOS!$A:$A,MA_ARTICULOS!$E:$E,0),"")</f>
        <v>12.345679012345679</v>
      </c>
    </row>
    <row r="75" spans="1:6" x14ac:dyDescent="0.3">
      <c r="A75" s="6" t="e">
        <f>#REF!</f>
        <v>#REF!</v>
      </c>
      <c r="B75" s="1">
        <v>13040012</v>
      </c>
      <c r="C75" s="1" t="s">
        <v>137</v>
      </c>
      <c r="D75" s="23">
        <v>1000</v>
      </c>
      <c r="E75" t="s">
        <v>65</v>
      </c>
      <c r="F75">
        <f>IFERROR(D75*_xlfn.XLOOKUP(B75,MA_ARTICULOS!$A:$A,MA_ARTICULOS!$E:$E,0),"")</f>
        <v>12.345679012345679</v>
      </c>
    </row>
    <row r="76" spans="1:6" x14ac:dyDescent="0.3">
      <c r="A76" s="6" t="e">
        <f>#REF!</f>
        <v>#REF!</v>
      </c>
      <c r="B76" s="1">
        <v>13040013</v>
      </c>
      <c r="C76" s="1" t="s">
        <v>138</v>
      </c>
      <c r="D76" s="23">
        <v>1000</v>
      </c>
      <c r="E76" t="s">
        <v>65</v>
      </c>
      <c r="F76">
        <f>IFERROR(D76*_xlfn.XLOOKUP(B76,MA_ARTICULOS!$A:$A,MA_ARTICULOS!$E:$E,0),"")</f>
        <v>12.345679012345679</v>
      </c>
    </row>
    <row r="77" spans="1:6" x14ac:dyDescent="0.3">
      <c r="A77" s="6" t="e">
        <f>#REF!</f>
        <v>#REF!</v>
      </c>
      <c r="B77" s="1">
        <v>13040014</v>
      </c>
      <c r="C77" s="1" t="s">
        <v>139</v>
      </c>
      <c r="D77" s="23">
        <v>1000</v>
      </c>
      <c r="E77" t="s">
        <v>65</v>
      </c>
      <c r="F77">
        <f>IFERROR(D77*_xlfn.XLOOKUP(B77,MA_ARTICULOS!$A:$A,MA_ARTICULOS!$E:$E,0),"")</f>
        <v>12.345679012345679</v>
      </c>
    </row>
    <row r="78" spans="1:6" x14ac:dyDescent="0.3">
      <c r="A78" s="6" t="e">
        <f>#REF!</f>
        <v>#REF!</v>
      </c>
      <c r="B78" s="1">
        <v>13040015</v>
      </c>
      <c r="C78" s="1" t="s">
        <v>140</v>
      </c>
      <c r="D78" s="23">
        <v>1000</v>
      </c>
      <c r="E78" t="s">
        <v>65</v>
      </c>
      <c r="F78">
        <f>IFERROR(D78*_xlfn.XLOOKUP(B78,MA_ARTICULOS!$A:$A,MA_ARTICULOS!$E:$E,0),"")</f>
        <v>12.345679012345679</v>
      </c>
    </row>
    <row r="79" spans="1:6" x14ac:dyDescent="0.3">
      <c r="A79" s="6" t="e">
        <f>#REF!</f>
        <v>#REF!</v>
      </c>
      <c r="B79" s="1">
        <v>13040016</v>
      </c>
      <c r="C79" s="1" t="s">
        <v>141</v>
      </c>
      <c r="D79" s="23">
        <v>1000</v>
      </c>
      <c r="E79" t="s">
        <v>65</v>
      </c>
      <c r="F79">
        <f>IFERROR(D79*_xlfn.XLOOKUP(B79,MA_ARTICULOS!$A:$A,MA_ARTICULOS!$E:$E,0),"")</f>
        <v>12.345679012345679</v>
      </c>
    </row>
    <row r="80" spans="1:6" x14ac:dyDescent="0.3">
      <c r="A80" s="6" t="e">
        <f>#REF!</f>
        <v>#REF!</v>
      </c>
      <c r="B80" s="1">
        <v>13040017</v>
      </c>
      <c r="C80" s="1" t="s">
        <v>142</v>
      </c>
      <c r="D80" s="23">
        <v>1000</v>
      </c>
      <c r="E80" t="s">
        <v>65</v>
      </c>
      <c r="F80">
        <f>IFERROR(D80*_xlfn.XLOOKUP(B80,MA_ARTICULOS!$A:$A,MA_ARTICULOS!$E:$E,0),"")</f>
        <v>12.345679012345679</v>
      </c>
    </row>
    <row r="81" spans="1:6" x14ac:dyDescent="0.3">
      <c r="A81" s="6" t="e">
        <f>#REF!</f>
        <v>#REF!</v>
      </c>
      <c r="B81" s="1">
        <v>13040018</v>
      </c>
      <c r="C81" s="1" t="s">
        <v>143</v>
      </c>
      <c r="D81" s="23">
        <v>1000</v>
      </c>
      <c r="E81" t="s">
        <v>65</v>
      </c>
      <c r="F81">
        <f>IFERROR(D81*_xlfn.XLOOKUP(B81,MA_ARTICULOS!$A:$A,MA_ARTICULOS!$E:$E,0),"")</f>
        <v>12.345679012345679</v>
      </c>
    </row>
    <row r="82" spans="1:6" x14ac:dyDescent="0.3">
      <c r="A82" s="6" t="e">
        <f>#REF!</f>
        <v>#REF!</v>
      </c>
      <c r="B82" s="1">
        <v>13040101</v>
      </c>
      <c r="C82" s="1" t="s">
        <v>144</v>
      </c>
      <c r="D82" s="23">
        <v>1000</v>
      </c>
      <c r="E82" t="s">
        <v>65</v>
      </c>
      <c r="F82">
        <f>IFERROR(D82*_xlfn.XLOOKUP(B82,MA_ARTICULOS!$A:$A,MA_ARTICULOS!$E:$E,0),"")</f>
        <v>12.345679012345679</v>
      </c>
    </row>
    <row r="83" spans="1:6" x14ac:dyDescent="0.3">
      <c r="A83" s="6" t="e">
        <f>#REF!</f>
        <v>#REF!</v>
      </c>
      <c r="B83" s="1">
        <v>13040102</v>
      </c>
      <c r="C83" s="1" t="s">
        <v>145</v>
      </c>
      <c r="D83" s="23">
        <v>1000</v>
      </c>
      <c r="E83" t="s">
        <v>65</v>
      </c>
      <c r="F83">
        <f>IFERROR(D83*_xlfn.XLOOKUP(B83,MA_ARTICULOS!$A:$A,MA_ARTICULOS!$E:$E,0),"")</f>
        <v>12.345679012345679</v>
      </c>
    </row>
    <row r="84" spans="1:6" x14ac:dyDescent="0.3">
      <c r="A84" s="6" t="e">
        <f>#REF!</f>
        <v>#REF!</v>
      </c>
      <c r="B84" s="1">
        <v>13040103</v>
      </c>
      <c r="C84" s="1" t="s">
        <v>146</v>
      </c>
      <c r="D84" s="23">
        <v>1000</v>
      </c>
      <c r="E84" t="s">
        <v>65</v>
      </c>
      <c r="F84">
        <f>IFERROR(D84*_xlfn.XLOOKUP(B84,MA_ARTICULOS!$A:$A,MA_ARTICULOS!$E:$E,0),"")</f>
        <v>12.345679012345679</v>
      </c>
    </row>
    <row r="85" spans="1:6" x14ac:dyDescent="0.3">
      <c r="A85" s="6" t="e">
        <f>#REF!</f>
        <v>#REF!</v>
      </c>
      <c r="B85" s="1">
        <v>13050001</v>
      </c>
      <c r="C85" s="1" t="s">
        <v>147</v>
      </c>
      <c r="D85" s="23">
        <v>1000</v>
      </c>
      <c r="E85" t="s">
        <v>65</v>
      </c>
      <c r="F85">
        <f>IFERROR(D85*_xlfn.XLOOKUP(B85,MA_ARTICULOS!$A:$A,MA_ARTICULOS!$E:$E,0),"")</f>
        <v>12.345679012345679</v>
      </c>
    </row>
    <row r="86" spans="1:6" x14ac:dyDescent="0.3">
      <c r="A86" s="6" t="e">
        <f>#REF!</f>
        <v>#REF!</v>
      </c>
      <c r="B86" s="1">
        <v>13050002</v>
      </c>
      <c r="C86" s="1" t="s">
        <v>148</v>
      </c>
      <c r="D86" s="23">
        <v>1000</v>
      </c>
      <c r="E86" t="s">
        <v>65</v>
      </c>
      <c r="F86">
        <f>IFERROR(D86*_xlfn.XLOOKUP(B86,MA_ARTICULOS!$A:$A,MA_ARTICULOS!$E:$E,0),"")</f>
        <v>12.345679012345679</v>
      </c>
    </row>
    <row r="87" spans="1:6" x14ac:dyDescent="0.3">
      <c r="A87" s="6" t="e">
        <f>#REF!</f>
        <v>#REF!</v>
      </c>
      <c r="B87" s="1">
        <v>13050003</v>
      </c>
      <c r="C87" s="1" t="s">
        <v>149</v>
      </c>
      <c r="D87" s="23">
        <v>1000</v>
      </c>
      <c r="E87" t="s">
        <v>65</v>
      </c>
      <c r="F87">
        <f>IFERROR(D87*_xlfn.XLOOKUP(B87,MA_ARTICULOS!$A:$A,MA_ARTICULOS!$E:$E,0),"")</f>
        <v>12.345679012345679</v>
      </c>
    </row>
    <row r="88" spans="1:6" x14ac:dyDescent="0.3">
      <c r="A88" s="6" t="e">
        <f>#REF!</f>
        <v>#REF!</v>
      </c>
      <c r="B88" s="1">
        <v>13050004</v>
      </c>
      <c r="C88" s="1" t="s">
        <v>150</v>
      </c>
      <c r="D88" s="23">
        <v>1000</v>
      </c>
      <c r="E88" t="s">
        <v>65</v>
      </c>
      <c r="F88">
        <f>IFERROR(D88*_xlfn.XLOOKUP(B88,MA_ARTICULOS!$A:$A,MA_ARTICULOS!$E:$E,0),"")</f>
        <v>12.345679012345679</v>
      </c>
    </row>
    <row r="89" spans="1:6" x14ac:dyDescent="0.3">
      <c r="A89" s="6" t="e">
        <f>#REF!</f>
        <v>#REF!</v>
      </c>
      <c r="B89" s="1">
        <v>13050005</v>
      </c>
      <c r="C89" s="1" t="s">
        <v>151</v>
      </c>
      <c r="D89" s="23">
        <v>1000</v>
      </c>
      <c r="E89" t="s">
        <v>65</v>
      </c>
      <c r="F89">
        <f>IFERROR(D89*_xlfn.XLOOKUP(B89,MA_ARTICULOS!$A:$A,MA_ARTICULOS!$E:$E,0),"")</f>
        <v>12.345679012345679</v>
      </c>
    </row>
    <row r="90" spans="1:6" x14ac:dyDescent="0.3">
      <c r="A90" s="6" t="e">
        <f>#REF!</f>
        <v>#REF!</v>
      </c>
      <c r="B90" s="1">
        <v>13050006</v>
      </c>
      <c r="C90" s="1" t="s">
        <v>152</v>
      </c>
      <c r="D90" s="23">
        <v>1000</v>
      </c>
      <c r="E90" t="s">
        <v>65</v>
      </c>
      <c r="F90">
        <f>IFERROR(D90*_xlfn.XLOOKUP(B90,MA_ARTICULOS!$A:$A,MA_ARTICULOS!$E:$E,0),"")</f>
        <v>12.345679012345679</v>
      </c>
    </row>
    <row r="91" spans="1:6" x14ac:dyDescent="0.3">
      <c r="A91" s="6" t="e">
        <f>#REF!</f>
        <v>#REF!</v>
      </c>
      <c r="B91" s="1">
        <v>13050007</v>
      </c>
      <c r="C91" s="1" t="s">
        <v>153</v>
      </c>
      <c r="D91" s="23">
        <v>1000</v>
      </c>
      <c r="E91" t="s">
        <v>65</v>
      </c>
      <c r="F91">
        <f>IFERROR(D91*_xlfn.XLOOKUP(B91,MA_ARTICULOS!$A:$A,MA_ARTICULOS!$E:$E,0),"")</f>
        <v>12.345679012345679</v>
      </c>
    </row>
    <row r="92" spans="1:6" x14ac:dyDescent="0.3">
      <c r="A92" s="6" t="e">
        <f>#REF!</f>
        <v>#REF!</v>
      </c>
      <c r="B92" s="1">
        <v>13050008</v>
      </c>
      <c r="C92" s="1" t="s">
        <v>154</v>
      </c>
      <c r="D92" s="23">
        <v>1000</v>
      </c>
      <c r="E92" t="s">
        <v>65</v>
      </c>
      <c r="F92">
        <f>IFERROR(D92*_xlfn.XLOOKUP(B92,MA_ARTICULOS!$A:$A,MA_ARTICULOS!$E:$E,0),"")</f>
        <v>12.345679012345679</v>
      </c>
    </row>
    <row r="93" spans="1:6" x14ac:dyDescent="0.3">
      <c r="A93" s="6" t="e">
        <f>#REF!</f>
        <v>#REF!</v>
      </c>
      <c r="B93" s="1">
        <v>13089001</v>
      </c>
      <c r="C93" s="1" t="s">
        <v>155</v>
      </c>
      <c r="D93" s="23">
        <v>1000</v>
      </c>
      <c r="E93" t="s">
        <v>65</v>
      </c>
      <c r="F93">
        <f>IFERROR(D93*_xlfn.XLOOKUP(B93,MA_ARTICULOS!$A:$A,MA_ARTICULOS!$E:$E,0),"")</f>
        <v>12.345679012345679</v>
      </c>
    </row>
    <row r="94" spans="1:6" x14ac:dyDescent="0.3">
      <c r="A94" s="6" t="e">
        <f>#REF!</f>
        <v>#REF!</v>
      </c>
      <c r="B94" s="1">
        <v>13089002</v>
      </c>
      <c r="C94" s="1" t="s">
        <v>156</v>
      </c>
      <c r="D94" s="23">
        <v>1000</v>
      </c>
      <c r="E94" t="s">
        <v>65</v>
      </c>
      <c r="F94">
        <f>IFERROR(D94*_xlfn.XLOOKUP(B94,MA_ARTICULOS!$A:$A,MA_ARTICULOS!$E:$E,0),"")</f>
        <v>12.345679012345679</v>
      </c>
    </row>
    <row r="95" spans="1:6" x14ac:dyDescent="0.3">
      <c r="A95" s="6" t="e">
        <f>#REF!</f>
        <v>#REF!</v>
      </c>
      <c r="B95" s="1">
        <v>13089003</v>
      </c>
      <c r="C95" s="1" t="s">
        <v>157</v>
      </c>
      <c r="D95" s="23">
        <v>1000</v>
      </c>
      <c r="E95" t="s">
        <v>65</v>
      </c>
      <c r="F95">
        <f>IFERROR(D95*_xlfn.XLOOKUP(B95,MA_ARTICULOS!$A:$A,MA_ARTICULOS!$E:$E,0),"")</f>
        <v>12.345679012345679</v>
      </c>
    </row>
    <row r="96" spans="1:6" x14ac:dyDescent="0.3">
      <c r="A96" s="6" t="e">
        <f>#REF!</f>
        <v>#REF!</v>
      </c>
      <c r="B96" s="1">
        <v>13089004</v>
      </c>
      <c r="C96" s="1" t="s">
        <v>158</v>
      </c>
      <c r="D96" s="23">
        <v>1000</v>
      </c>
      <c r="E96" t="s">
        <v>65</v>
      </c>
      <c r="F96">
        <f>IFERROR(D96*_xlfn.XLOOKUP(B96,MA_ARTICULOS!$A:$A,MA_ARTICULOS!$E:$E,0),"")</f>
        <v>12.345679012345679</v>
      </c>
    </row>
    <row r="97" spans="1:6" x14ac:dyDescent="0.3">
      <c r="A97" s="6" t="e">
        <f>#REF!</f>
        <v>#REF!</v>
      </c>
      <c r="B97" s="1">
        <v>13089005</v>
      </c>
      <c r="C97" s="1" t="s">
        <v>159</v>
      </c>
      <c r="D97" s="23">
        <v>1000</v>
      </c>
      <c r="E97" t="s">
        <v>65</v>
      </c>
      <c r="F97">
        <f>IFERROR(D97*_xlfn.XLOOKUP(B97,MA_ARTICULOS!$A:$A,MA_ARTICULOS!$E:$E,0),"")</f>
        <v>12.345679012345679</v>
      </c>
    </row>
    <row r="98" spans="1:6" x14ac:dyDescent="0.3">
      <c r="A98" s="6" t="e">
        <f>#REF!</f>
        <v>#REF!</v>
      </c>
      <c r="B98" s="1">
        <v>13089006</v>
      </c>
      <c r="C98" s="1" t="s">
        <v>160</v>
      </c>
      <c r="D98" s="23">
        <v>1000</v>
      </c>
      <c r="E98" t="s">
        <v>65</v>
      </c>
      <c r="F98">
        <f>IFERROR(D98*_xlfn.XLOOKUP(B98,MA_ARTICULOS!$A:$A,MA_ARTICULOS!$E:$E,0),"")</f>
        <v>12.345679012345679</v>
      </c>
    </row>
    <row r="99" spans="1:6" x14ac:dyDescent="0.3">
      <c r="A99" s="6" t="e">
        <f>#REF!</f>
        <v>#REF!</v>
      </c>
      <c r="B99" s="1">
        <v>13089007</v>
      </c>
      <c r="C99" s="1" t="s">
        <v>161</v>
      </c>
      <c r="D99" s="23">
        <v>1000</v>
      </c>
      <c r="E99" t="s">
        <v>65</v>
      </c>
      <c r="F99">
        <f>IFERROR(D99*_xlfn.XLOOKUP(B99,MA_ARTICULOS!$A:$A,MA_ARTICULOS!$E:$E,0),"")</f>
        <v>12.345679012345679</v>
      </c>
    </row>
    <row r="100" spans="1:6" x14ac:dyDescent="0.3">
      <c r="A100" s="6" t="e">
        <f>#REF!</f>
        <v>#REF!</v>
      </c>
      <c r="B100" s="1">
        <v>13090001</v>
      </c>
      <c r="C100" s="1" t="s">
        <v>162</v>
      </c>
      <c r="D100" s="23">
        <v>1000</v>
      </c>
      <c r="E100" t="s">
        <v>65</v>
      </c>
      <c r="F100">
        <f>IFERROR(D100*_xlfn.XLOOKUP(B100,MA_ARTICULOS!$A:$A,MA_ARTICULOS!$E:$E,0),"")</f>
        <v>12.345679012345679</v>
      </c>
    </row>
    <row r="101" spans="1:6" x14ac:dyDescent="0.3">
      <c r="A101" s="6" t="e">
        <f>#REF!</f>
        <v>#REF!</v>
      </c>
      <c r="B101" s="1">
        <v>13090002</v>
      </c>
      <c r="C101" s="1" t="s">
        <v>163</v>
      </c>
      <c r="D101" s="23">
        <v>1000</v>
      </c>
      <c r="E101" t="s">
        <v>65</v>
      </c>
      <c r="F101">
        <f>IFERROR(D101*_xlfn.XLOOKUP(B101,MA_ARTICULOS!$A:$A,MA_ARTICULOS!$E:$E,0),"")</f>
        <v>12.345679012345679</v>
      </c>
    </row>
    <row r="102" spans="1:6" x14ac:dyDescent="0.3">
      <c r="A102" s="6" t="e">
        <f>#REF!</f>
        <v>#REF!</v>
      </c>
      <c r="B102" s="1">
        <v>13099001</v>
      </c>
      <c r="C102" s="1" t="s">
        <v>164</v>
      </c>
      <c r="D102" s="23">
        <v>1000</v>
      </c>
      <c r="E102" t="s">
        <v>65</v>
      </c>
      <c r="F102">
        <f>IFERROR(D102*_xlfn.XLOOKUP(B102,MA_ARTICULOS!$A:$A,MA_ARTICULOS!$E:$E,0),"")</f>
        <v>8.4033613445378155</v>
      </c>
    </row>
    <row r="103" spans="1:6" x14ac:dyDescent="0.3">
      <c r="A103" s="6" t="e">
        <f>#REF!</f>
        <v>#REF!</v>
      </c>
      <c r="B103" s="1">
        <v>13099002</v>
      </c>
      <c r="C103" s="1" t="s">
        <v>165</v>
      </c>
      <c r="D103" s="23">
        <v>1000</v>
      </c>
      <c r="E103" t="s">
        <v>65</v>
      </c>
      <c r="F103">
        <f>IFERROR(D103*_xlfn.XLOOKUP(B103,MA_ARTICULOS!$A:$A,MA_ARTICULOS!$E:$E,0),"")</f>
        <v>8.4033613445378155</v>
      </c>
    </row>
    <row r="104" spans="1:6" x14ac:dyDescent="0.3">
      <c r="A104" s="6" t="e">
        <f>#REF!</f>
        <v>#REF!</v>
      </c>
      <c r="B104" s="1">
        <v>13110001</v>
      </c>
      <c r="C104" s="1" t="s">
        <v>166</v>
      </c>
      <c r="D104" s="23">
        <v>1000</v>
      </c>
      <c r="E104" t="s">
        <v>65</v>
      </c>
      <c r="F104">
        <f>IFERROR(D104*_xlfn.XLOOKUP(B104,MA_ARTICULOS!$A:$A,MA_ARTICULOS!$E:$E,0),"")</f>
        <v>8.4033613445378155</v>
      </c>
    </row>
    <row r="105" spans="1:6" x14ac:dyDescent="0.3">
      <c r="A105" s="6" t="e">
        <f>#REF!</f>
        <v>#REF!</v>
      </c>
      <c r="B105" s="1">
        <v>13110002</v>
      </c>
      <c r="C105" s="1" t="s">
        <v>167</v>
      </c>
      <c r="D105" s="23">
        <v>1000</v>
      </c>
      <c r="E105" t="s">
        <v>65</v>
      </c>
      <c r="F105">
        <f>IFERROR(D105*_xlfn.XLOOKUP(B105,MA_ARTICULOS!$A:$A,MA_ARTICULOS!$E:$E,0),"")</f>
        <v>8.4033613445378155</v>
      </c>
    </row>
    <row r="106" spans="1:6" x14ac:dyDescent="0.3">
      <c r="A106" s="6" t="e">
        <f>#REF!</f>
        <v>#REF!</v>
      </c>
      <c r="B106" s="1">
        <v>13110003</v>
      </c>
      <c r="C106" s="1" t="s">
        <v>168</v>
      </c>
      <c r="D106" s="23">
        <v>1000</v>
      </c>
      <c r="E106" t="s">
        <v>65</v>
      </c>
      <c r="F106">
        <f>IFERROR(D106*_xlfn.XLOOKUP(B106,MA_ARTICULOS!$A:$A,MA_ARTICULOS!$E:$E,0),"")</f>
        <v>8.4033613445378155</v>
      </c>
    </row>
    <row r="107" spans="1:6" x14ac:dyDescent="0.3">
      <c r="A107" s="6" t="e">
        <f>#REF!</f>
        <v>#REF!</v>
      </c>
      <c r="B107" s="1">
        <v>13110004</v>
      </c>
      <c r="C107" s="1" t="s">
        <v>169</v>
      </c>
      <c r="D107" s="23">
        <v>1000</v>
      </c>
      <c r="E107" t="s">
        <v>65</v>
      </c>
      <c r="F107">
        <f>IFERROR(D107*_xlfn.XLOOKUP(B107,MA_ARTICULOS!$A:$A,MA_ARTICULOS!$E:$E,0),"")</f>
        <v>8.4033613445378155</v>
      </c>
    </row>
    <row r="108" spans="1:6" x14ac:dyDescent="0.3">
      <c r="A108" s="6" t="e">
        <f>#REF!</f>
        <v>#REF!</v>
      </c>
      <c r="B108" s="1">
        <v>13130001</v>
      </c>
      <c r="C108" s="1" t="s">
        <v>170</v>
      </c>
      <c r="D108" s="23">
        <v>1000</v>
      </c>
      <c r="E108" t="s">
        <v>65</v>
      </c>
      <c r="F108">
        <f>IFERROR(D108*_xlfn.XLOOKUP(B108,MA_ARTICULOS!$A:$A,MA_ARTICULOS!$E:$E,0),"")</f>
        <v>8.4033613445378155</v>
      </c>
    </row>
    <row r="109" spans="1:6" x14ac:dyDescent="0.3">
      <c r="A109" s="6" t="e">
        <f>#REF!</f>
        <v>#REF!</v>
      </c>
      <c r="B109" s="1">
        <v>13130002</v>
      </c>
      <c r="C109" s="1" t="s">
        <v>171</v>
      </c>
      <c r="D109" s="23">
        <v>1000</v>
      </c>
      <c r="E109" t="s">
        <v>65</v>
      </c>
      <c r="F109">
        <f>IFERROR(D109*_xlfn.XLOOKUP(B109,MA_ARTICULOS!$A:$A,MA_ARTICULOS!$E:$E,0),"")</f>
        <v>8.4033613445378155</v>
      </c>
    </row>
    <row r="110" spans="1:6" x14ac:dyDescent="0.3">
      <c r="A110" s="6" t="e">
        <f>#REF!</f>
        <v>#REF!</v>
      </c>
      <c r="B110" s="1">
        <v>13130003</v>
      </c>
      <c r="C110" s="1" t="s">
        <v>172</v>
      </c>
      <c r="D110" s="23">
        <v>1000</v>
      </c>
      <c r="E110" t="s">
        <v>65</v>
      </c>
      <c r="F110">
        <f>IFERROR(D110*_xlfn.XLOOKUP(B110,MA_ARTICULOS!$A:$A,MA_ARTICULOS!$E:$E,0),"")</f>
        <v>8.4033613445378155</v>
      </c>
    </row>
    <row r="111" spans="1:6" x14ac:dyDescent="0.3">
      <c r="A111" s="6" t="e">
        <f>#REF!</f>
        <v>#REF!</v>
      </c>
      <c r="B111" s="1">
        <v>23080001</v>
      </c>
      <c r="C111" s="1" t="s">
        <v>173</v>
      </c>
      <c r="D111" s="23">
        <v>1000</v>
      </c>
      <c r="E111" t="s">
        <v>65</v>
      </c>
      <c r="F111">
        <f>IFERROR(D111*_xlfn.XLOOKUP(B111,MA_ARTICULOS!$A:$A,MA_ARTICULOS!$E:$E,0),"")</f>
        <v>8.3333333333333339</v>
      </c>
    </row>
    <row r="112" spans="1:6" x14ac:dyDescent="0.3">
      <c r="A112" s="6" t="e">
        <f>#REF!</f>
        <v>#REF!</v>
      </c>
      <c r="B112" s="1">
        <v>23080002</v>
      </c>
      <c r="C112" s="1" t="s">
        <v>174</v>
      </c>
      <c r="D112" s="23">
        <v>1000</v>
      </c>
      <c r="E112" t="s">
        <v>65</v>
      </c>
      <c r="F112">
        <f>IFERROR(D112*_xlfn.XLOOKUP(B112,MA_ARTICULOS!$A:$A,MA_ARTICULOS!$E:$E,0),"")</f>
        <v>8.3333333333333339</v>
      </c>
    </row>
    <row r="113" spans="1:6" x14ac:dyDescent="0.3">
      <c r="A113" s="6" t="e">
        <f>#REF!</f>
        <v>#REF!</v>
      </c>
      <c r="B113" s="1">
        <v>23080003</v>
      </c>
      <c r="C113" s="1" t="s">
        <v>175</v>
      </c>
      <c r="D113" s="23">
        <v>1000</v>
      </c>
      <c r="E113" t="s">
        <v>65</v>
      </c>
      <c r="F113">
        <f>IFERROR(D113*_xlfn.XLOOKUP(B113,MA_ARTICULOS!$A:$A,MA_ARTICULOS!$E:$E,0),"")</f>
        <v>8.3333333333333339</v>
      </c>
    </row>
    <row r="114" spans="1:6" x14ac:dyDescent="0.3">
      <c r="A114" s="6" t="e">
        <f>#REF!</f>
        <v>#REF!</v>
      </c>
      <c r="B114" s="1">
        <v>23080004</v>
      </c>
      <c r="C114" s="1" t="s">
        <v>176</v>
      </c>
      <c r="D114" s="23">
        <v>1000</v>
      </c>
      <c r="E114" t="s">
        <v>65</v>
      </c>
      <c r="F114">
        <f>IFERROR(D114*_xlfn.XLOOKUP(B114,MA_ARTICULOS!$A:$A,MA_ARTICULOS!$E:$E,0),"")</f>
        <v>8.3333333333333339</v>
      </c>
    </row>
    <row r="115" spans="1:6" x14ac:dyDescent="0.3">
      <c r="A115" s="6" t="e">
        <f>#REF!</f>
        <v>#REF!</v>
      </c>
      <c r="B115" s="1">
        <v>23080005</v>
      </c>
      <c r="C115" s="1" t="s">
        <v>177</v>
      </c>
      <c r="D115" s="23">
        <v>1000</v>
      </c>
      <c r="E115" t="s">
        <v>65</v>
      </c>
      <c r="F115">
        <f>IFERROR(D115*_xlfn.XLOOKUP(B115,MA_ARTICULOS!$A:$A,MA_ARTICULOS!$E:$E,0),"")</f>
        <v>8.3333333333333339</v>
      </c>
    </row>
    <row r="116" spans="1:6" x14ac:dyDescent="0.3">
      <c r="A116" s="6" t="e">
        <f>#REF!</f>
        <v>#REF!</v>
      </c>
      <c r="B116" s="1">
        <v>23080006</v>
      </c>
      <c r="C116" s="1" t="s">
        <v>178</v>
      </c>
      <c r="D116" s="23">
        <v>1000</v>
      </c>
      <c r="E116" t="s">
        <v>65</v>
      </c>
      <c r="F116">
        <f>IFERROR(D116*_xlfn.XLOOKUP(B116,MA_ARTICULOS!$A:$A,MA_ARTICULOS!$E:$E,0),"")</f>
        <v>8.3333333333333339</v>
      </c>
    </row>
    <row r="117" spans="1:6" x14ac:dyDescent="0.3">
      <c r="A117" s="6" t="e">
        <f>#REF!</f>
        <v>#REF!</v>
      </c>
      <c r="B117" s="1">
        <v>23080007</v>
      </c>
      <c r="C117" s="1" t="s">
        <v>179</v>
      </c>
      <c r="D117" s="23">
        <v>1000</v>
      </c>
      <c r="E117" t="s">
        <v>65</v>
      </c>
      <c r="F117">
        <f>IFERROR(D117*_xlfn.XLOOKUP(B117,MA_ARTICULOS!$A:$A,MA_ARTICULOS!$E:$E,0),"")</f>
        <v>8.3333333333333339</v>
      </c>
    </row>
    <row r="118" spans="1:6" x14ac:dyDescent="0.3">
      <c r="A118" s="6" t="e">
        <f>#REF!</f>
        <v>#REF!</v>
      </c>
      <c r="B118" s="1">
        <v>101</v>
      </c>
      <c r="C118" s="1" t="s">
        <v>180</v>
      </c>
      <c r="D118" s="23">
        <v>1000</v>
      </c>
      <c r="E118" t="s">
        <v>65</v>
      </c>
      <c r="F118">
        <f>IFERROR(D118*_xlfn.XLOOKUP(B118,MA_ARTICULOS!$A:$A,MA_ARTICULOS!$E:$E,0),"")</f>
        <v>8.3333333333333339</v>
      </c>
    </row>
    <row r="119" spans="1:6" x14ac:dyDescent="0.3">
      <c r="A119" s="6" t="e">
        <f>#REF!</f>
        <v>#REF!</v>
      </c>
      <c r="B119" s="1">
        <v>102</v>
      </c>
      <c r="C119" s="1" t="s">
        <v>181</v>
      </c>
      <c r="D119" s="23">
        <v>1000</v>
      </c>
      <c r="E119" t="s">
        <v>65</v>
      </c>
      <c r="F119">
        <f>IFERROR(D119*_xlfn.XLOOKUP(B119,MA_ARTICULOS!$A:$A,MA_ARTICULOS!$E:$E,0),"")</f>
        <v>8.3333333333333339</v>
      </c>
    </row>
    <row r="120" spans="1:6" x14ac:dyDescent="0.3">
      <c r="A120" s="6" t="e">
        <f>#REF!</f>
        <v>#REF!</v>
      </c>
      <c r="B120" s="1">
        <v>104</v>
      </c>
      <c r="C120" s="1" t="s">
        <v>182</v>
      </c>
      <c r="D120" s="23">
        <v>1000</v>
      </c>
      <c r="E120" t="s">
        <v>65</v>
      </c>
      <c r="F120">
        <f>IFERROR(D120*_xlfn.XLOOKUP(B120,MA_ARTICULOS!$A:$A,MA_ARTICULOS!$E:$E,0),"")</f>
        <v>8.3333333333333339</v>
      </c>
    </row>
    <row r="121" spans="1:6" x14ac:dyDescent="0.3">
      <c r="A121" s="6" t="e">
        <f>#REF!</f>
        <v>#REF!</v>
      </c>
      <c r="B121" s="1">
        <v>105</v>
      </c>
      <c r="C121" s="1" t="s">
        <v>183</v>
      </c>
      <c r="D121" s="23">
        <v>1000</v>
      </c>
      <c r="E121" t="s">
        <v>65</v>
      </c>
      <c r="F121">
        <f>IFERROR(D121*_xlfn.XLOOKUP(B121,MA_ARTICULOS!$A:$A,MA_ARTICULOS!$E:$E,0),"")</f>
        <v>8.3333333333333339</v>
      </c>
    </row>
    <row r="122" spans="1:6" x14ac:dyDescent="0.3">
      <c r="A122" s="6" t="e">
        <f>#REF!</f>
        <v>#REF!</v>
      </c>
      <c r="B122" s="1">
        <v>106</v>
      </c>
      <c r="C122" s="1" t="s">
        <v>184</v>
      </c>
      <c r="D122" s="23">
        <v>1000</v>
      </c>
      <c r="E122" t="s">
        <v>65</v>
      </c>
      <c r="F122">
        <f>IFERROR(D122*_xlfn.XLOOKUP(B122,MA_ARTICULOS!$A:$A,MA_ARTICULOS!$E:$E,0),"")</f>
        <v>8.3333333333333339</v>
      </c>
    </row>
    <row r="123" spans="1:6" x14ac:dyDescent="0.3">
      <c r="A123" s="6" t="e">
        <f>#REF!</f>
        <v>#REF!</v>
      </c>
      <c r="B123" s="1">
        <v>120</v>
      </c>
      <c r="C123" s="1" t="s">
        <v>185</v>
      </c>
      <c r="D123" s="23">
        <v>1000</v>
      </c>
      <c r="E123" t="s">
        <v>65</v>
      </c>
      <c r="F123">
        <f>IFERROR(D123*_xlfn.XLOOKUP(B123,MA_ARTICULOS!$A:$A,MA_ARTICULOS!$E:$E,0),"")</f>
        <v>8.3333333333333339</v>
      </c>
    </row>
    <row r="124" spans="1:6" x14ac:dyDescent="0.3">
      <c r="A124" s="6" t="e">
        <f>#REF!</f>
        <v>#REF!</v>
      </c>
      <c r="B124">
        <v>121</v>
      </c>
      <c r="C124" t="s">
        <v>186</v>
      </c>
      <c r="D124" s="23">
        <v>1000</v>
      </c>
      <c r="E124" t="s">
        <v>65</v>
      </c>
      <c r="F124">
        <f>IFERROR(D124*_xlfn.XLOOKUP(B124,MA_ARTICULOS!$A:$A,MA_ARTICULOS!$E:$E,0),"")</f>
        <v>8.3333333333333339</v>
      </c>
    </row>
    <row r="125" spans="1:6" x14ac:dyDescent="0.3">
      <c r="A125" s="18" t="s">
        <v>212</v>
      </c>
      <c r="B125" s="14"/>
      <c r="C125" s="14"/>
      <c r="D125" s="14"/>
      <c r="E125" s="14"/>
      <c r="F125" s="14"/>
    </row>
    <row r="126" spans="1:6" x14ac:dyDescent="0.3">
      <c r="A126" s="11" t="e">
        <f>IF(#REF!&gt;=2,#REF!,"")</f>
        <v>#REF!</v>
      </c>
      <c r="B126" s="8">
        <v>11010001</v>
      </c>
      <c r="C126" s="8" t="s">
        <v>64</v>
      </c>
      <c r="D126" s="13">
        <v>0</v>
      </c>
      <c r="E126" s="15" t="s">
        <v>65</v>
      </c>
      <c r="F126" s="16" t="e">
        <f>IF(#REF!&gt;=2,IFERROR(D126*_xlfn.SINGLE(_xlfn.XLOOKUP(B126,MA_ARTICULOS!$A:$A,MA_ARTICULOS!$E:$E,0)),""),"")</f>
        <v>#REF!</v>
      </c>
    </row>
    <row r="127" spans="1:6" ht="28.05" customHeight="1" x14ac:dyDescent="0.3">
      <c r="A127" s="11" t="e">
        <f>IF(#REF!&gt;=2,#REF!,"")</f>
        <v>#REF!</v>
      </c>
      <c r="B127" s="8">
        <v>11010002</v>
      </c>
      <c r="C127" s="8" t="s">
        <v>66</v>
      </c>
      <c r="D127" s="13">
        <v>0</v>
      </c>
      <c r="E127" s="15" t="s">
        <v>65</v>
      </c>
      <c r="F127" s="16" t="e">
        <f>IF(#REF!&gt;=2,IFERROR(D127*_xlfn.SINGLE(_xlfn.XLOOKUP(B127,MA_ARTICULOS!$A:$A,MA_ARTICULOS!$E:$E,0)),""),"")</f>
        <v>#REF!</v>
      </c>
    </row>
    <row r="128" spans="1:6" x14ac:dyDescent="0.3">
      <c r="A128" s="11" t="e">
        <f>IF(#REF!&gt;=2,#REF!,"")</f>
        <v>#REF!</v>
      </c>
      <c r="B128" s="8">
        <v>11010003</v>
      </c>
      <c r="C128" s="8" t="s">
        <v>67</v>
      </c>
      <c r="D128" s="13">
        <v>0</v>
      </c>
      <c r="E128" s="15" t="s">
        <v>65</v>
      </c>
      <c r="F128" s="16" t="e">
        <f>IF(#REF!&gt;=2,IFERROR(D128*_xlfn.SINGLE(_xlfn.XLOOKUP(B128,MA_ARTICULOS!$A:$A,MA_ARTICULOS!$E:$E,0)),""),"")</f>
        <v>#REF!</v>
      </c>
    </row>
    <row r="129" spans="1:6" x14ac:dyDescent="0.3">
      <c r="A129" s="11" t="e">
        <f>IF(#REF!&gt;=2,#REF!,"")</f>
        <v>#REF!</v>
      </c>
      <c r="B129" s="8">
        <v>11010004</v>
      </c>
      <c r="C129" s="8" t="s">
        <v>68</v>
      </c>
      <c r="D129" s="13">
        <v>0</v>
      </c>
      <c r="E129" s="15" t="s">
        <v>65</v>
      </c>
      <c r="F129" s="16" t="e">
        <f>IF(#REF!&gt;=2,IFERROR(D129*_xlfn.SINGLE(_xlfn.XLOOKUP(B129,MA_ARTICULOS!$A:$A,MA_ARTICULOS!$E:$E,0)),""),"")</f>
        <v>#REF!</v>
      </c>
    </row>
    <row r="130" spans="1:6" x14ac:dyDescent="0.3">
      <c r="A130" s="11" t="e">
        <f>IF(#REF!&gt;=2,#REF!,"")</f>
        <v>#REF!</v>
      </c>
      <c r="B130" s="8">
        <v>11010005</v>
      </c>
      <c r="C130" s="8" t="s">
        <v>69</v>
      </c>
      <c r="D130" s="13">
        <v>0</v>
      </c>
      <c r="E130" s="15" t="s">
        <v>65</v>
      </c>
      <c r="F130" s="16" t="e">
        <f>IF(#REF!&gt;=2,IFERROR(D130*_xlfn.SINGLE(_xlfn.XLOOKUP(B130,MA_ARTICULOS!$A:$A,MA_ARTICULOS!$E:$E,0)),""),"")</f>
        <v>#REF!</v>
      </c>
    </row>
    <row r="131" spans="1:6" x14ac:dyDescent="0.3">
      <c r="A131" s="11" t="e">
        <f>IF(#REF!&gt;=2,#REF!,"")</f>
        <v>#REF!</v>
      </c>
      <c r="B131" s="8">
        <v>11010007</v>
      </c>
      <c r="C131" s="8" t="s">
        <v>70</v>
      </c>
      <c r="D131" s="13">
        <v>0</v>
      </c>
      <c r="E131" s="15" t="s">
        <v>65</v>
      </c>
      <c r="F131" s="16" t="e">
        <f>IF(#REF!&gt;=2,IFERROR(D131*_xlfn.SINGLE(_xlfn.XLOOKUP(B131,MA_ARTICULOS!$A:$A,MA_ARTICULOS!$E:$E,0)),""),"")</f>
        <v>#REF!</v>
      </c>
    </row>
    <row r="132" spans="1:6" x14ac:dyDescent="0.3">
      <c r="A132" s="11" t="e">
        <f>IF(#REF!&gt;=2,#REF!,"")</f>
        <v>#REF!</v>
      </c>
      <c r="B132" s="8">
        <v>11010008</v>
      </c>
      <c r="C132" s="8" t="s">
        <v>71</v>
      </c>
      <c r="D132" s="13">
        <v>0</v>
      </c>
      <c r="E132" s="15" t="s">
        <v>65</v>
      </c>
      <c r="F132" s="16" t="e">
        <f>IF(#REF!&gt;=2,IFERROR(D132*_xlfn.SINGLE(_xlfn.XLOOKUP(B132,MA_ARTICULOS!$A:$A,MA_ARTICULOS!$E:$E,0)),""),"")</f>
        <v>#REF!</v>
      </c>
    </row>
    <row r="133" spans="1:6" x14ac:dyDescent="0.3">
      <c r="A133" s="11" t="e">
        <f>IF(#REF!&gt;=2,#REF!,"")</f>
        <v>#REF!</v>
      </c>
      <c r="B133" s="8">
        <v>11010009</v>
      </c>
      <c r="C133" s="8" t="s">
        <v>72</v>
      </c>
      <c r="D133" s="13">
        <v>0</v>
      </c>
      <c r="E133" s="15" t="s">
        <v>65</v>
      </c>
      <c r="F133" s="16" t="e">
        <f>IF(#REF!&gt;=2,IFERROR(D133*_xlfn.SINGLE(_xlfn.XLOOKUP(B133,MA_ARTICULOS!$A:$A,MA_ARTICULOS!$E:$E,0)),""),"")</f>
        <v>#REF!</v>
      </c>
    </row>
    <row r="134" spans="1:6" x14ac:dyDescent="0.3">
      <c r="A134" s="11" t="e">
        <f>IF(#REF!&gt;=2,#REF!,"")</f>
        <v>#REF!</v>
      </c>
      <c r="B134" s="8">
        <v>11010010</v>
      </c>
      <c r="C134" s="8" t="s">
        <v>73</v>
      </c>
      <c r="D134" s="13">
        <v>0</v>
      </c>
      <c r="E134" s="15" t="s">
        <v>65</v>
      </c>
      <c r="F134" s="16" t="e">
        <f>IF(#REF!&gt;=2,IFERROR(D134*_xlfn.SINGLE(_xlfn.XLOOKUP(B134,MA_ARTICULOS!$A:$A,MA_ARTICULOS!$E:$E,0)),""),"")</f>
        <v>#REF!</v>
      </c>
    </row>
    <row r="135" spans="1:6" x14ac:dyDescent="0.3">
      <c r="A135" s="11" t="e">
        <f>IF(#REF!&gt;=2,#REF!,"")</f>
        <v>#REF!</v>
      </c>
      <c r="B135" s="8">
        <v>11010011</v>
      </c>
      <c r="C135" s="8" t="s">
        <v>74</v>
      </c>
      <c r="D135" s="13">
        <v>0</v>
      </c>
      <c r="E135" s="15" t="s">
        <v>65</v>
      </c>
      <c r="F135" s="16" t="e">
        <f>IF(#REF!&gt;=2,IFERROR(D135*_xlfn.SINGLE(_xlfn.XLOOKUP(B135,MA_ARTICULOS!$A:$A,MA_ARTICULOS!$E:$E,0)),""),"")</f>
        <v>#REF!</v>
      </c>
    </row>
    <row r="136" spans="1:6" x14ac:dyDescent="0.3">
      <c r="A136" s="11" t="e">
        <f>IF(#REF!&gt;=2,#REF!,"")</f>
        <v>#REF!</v>
      </c>
      <c r="B136" s="8">
        <v>11010013</v>
      </c>
      <c r="C136" s="8" t="s">
        <v>75</v>
      </c>
      <c r="D136" s="13">
        <v>0</v>
      </c>
      <c r="E136" s="15" t="s">
        <v>65</v>
      </c>
      <c r="F136" s="16" t="e">
        <f>IF(#REF!&gt;=2,IFERROR(D136*_xlfn.SINGLE(_xlfn.XLOOKUP(B136,MA_ARTICULOS!$A:$A,MA_ARTICULOS!$E:$E,0)),""),"")</f>
        <v>#REF!</v>
      </c>
    </row>
    <row r="137" spans="1:6" x14ac:dyDescent="0.3">
      <c r="A137" s="11" t="e">
        <f>IF(#REF!&gt;=2,#REF!,"")</f>
        <v>#REF!</v>
      </c>
      <c r="B137" s="8">
        <v>11010014</v>
      </c>
      <c r="C137" s="8" t="s">
        <v>76</v>
      </c>
      <c r="D137" s="13">
        <v>0</v>
      </c>
      <c r="E137" s="15" t="s">
        <v>65</v>
      </c>
      <c r="F137" s="16" t="e">
        <f>IF(#REF!&gt;=2,IFERROR(D137*_xlfn.SINGLE(_xlfn.XLOOKUP(B137,MA_ARTICULOS!$A:$A,MA_ARTICULOS!$E:$E,0)),""),"")</f>
        <v>#REF!</v>
      </c>
    </row>
    <row r="138" spans="1:6" x14ac:dyDescent="0.3">
      <c r="A138" s="11" t="e">
        <f>IF(#REF!&gt;=2,#REF!,"")</f>
        <v>#REF!</v>
      </c>
      <c r="B138" s="8">
        <v>11010015</v>
      </c>
      <c r="C138" s="8" t="s">
        <v>77</v>
      </c>
      <c r="D138" s="13">
        <v>0</v>
      </c>
      <c r="E138" s="15" t="s">
        <v>65</v>
      </c>
      <c r="F138" s="16" t="e">
        <f>IF(#REF!&gt;=2,IFERROR(D138*_xlfn.SINGLE(_xlfn.XLOOKUP(B138,MA_ARTICULOS!$A:$A,MA_ARTICULOS!$E:$E,0)),""),"")</f>
        <v>#REF!</v>
      </c>
    </row>
    <row r="139" spans="1:6" x14ac:dyDescent="0.3">
      <c r="A139" s="11" t="e">
        <f>IF(#REF!&gt;=2,#REF!,"")</f>
        <v>#REF!</v>
      </c>
      <c r="B139" s="8">
        <v>11010018</v>
      </c>
      <c r="C139" s="8" t="s">
        <v>78</v>
      </c>
      <c r="D139" s="13">
        <v>0</v>
      </c>
      <c r="E139" s="15" t="s">
        <v>65</v>
      </c>
      <c r="F139" s="16" t="e">
        <f>IF(#REF!&gt;=2,IFERROR(D139*_xlfn.SINGLE(_xlfn.XLOOKUP(B139,MA_ARTICULOS!$A:$A,MA_ARTICULOS!$E:$E,0)),""),"")</f>
        <v>#REF!</v>
      </c>
    </row>
    <row r="140" spans="1:6" x14ac:dyDescent="0.3">
      <c r="A140" s="11" t="e">
        <f>IF(#REF!&gt;=2,#REF!,"")</f>
        <v>#REF!</v>
      </c>
      <c r="B140" s="8">
        <v>11010019</v>
      </c>
      <c r="C140" s="8" t="s">
        <v>79</v>
      </c>
      <c r="D140" s="13">
        <v>0</v>
      </c>
      <c r="E140" s="15" t="s">
        <v>65</v>
      </c>
      <c r="F140" s="16" t="e">
        <f>IF(#REF!&gt;=2,IFERROR(D140*_xlfn.SINGLE(_xlfn.XLOOKUP(B140,MA_ARTICULOS!$A:$A,MA_ARTICULOS!$E:$E,0)),""),"")</f>
        <v>#REF!</v>
      </c>
    </row>
    <row r="141" spans="1:6" x14ac:dyDescent="0.3">
      <c r="A141" s="11" t="e">
        <f>IF(#REF!&gt;=2,#REF!,"")</f>
        <v>#REF!</v>
      </c>
      <c r="B141" s="8">
        <v>11010020</v>
      </c>
      <c r="C141" s="8" t="s">
        <v>80</v>
      </c>
      <c r="D141" s="13">
        <v>0</v>
      </c>
      <c r="E141" s="15" t="s">
        <v>65</v>
      </c>
      <c r="F141" s="16" t="e">
        <f>IF(#REF!&gt;=2,IFERROR(D141*_xlfn.SINGLE(_xlfn.XLOOKUP(B141,MA_ARTICULOS!$A:$A,MA_ARTICULOS!$E:$E,0)),""),"")</f>
        <v>#REF!</v>
      </c>
    </row>
    <row r="142" spans="1:6" x14ac:dyDescent="0.3">
      <c r="A142" s="11" t="e">
        <f>IF(#REF!&gt;=2,#REF!,"")</f>
        <v>#REF!</v>
      </c>
      <c r="B142" s="8">
        <v>11010022</v>
      </c>
      <c r="C142" s="8" t="s">
        <v>81</v>
      </c>
      <c r="D142" s="13">
        <v>0</v>
      </c>
      <c r="E142" s="15" t="s">
        <v>65</v>
      </c>
      <c r="F142" s="16" t="e">
        <f>IF(#REF!&gt;=2,IFERROR(D142*_xlfn.SINGLE(_xlfn.XLOOKUP(B142,MA_ARTICULOS!$A:$A,MA_ARTICULOS!$E:$E,0)),""),"")</f>
        <v>#REF!</v>
      </c>
    </row>
    <row r="143" spans="1:6" x14ac:dyDescent="0.3">
      <c r="A143" s="11" t="e">
        <f>IF(#REF!&gt;=2,#REF!,"")</f>
        <v>#REF!</v>
      </c>
      <c r="B143" s="8">
        <v>11010023</v>
      </c>
      <c r="C143" s="8" t="s">
        <v>82</v>
      </c>
      <c r="D143" s="13">
        <v>0</v>
      </c>
      <c r="E143" s="15" t="s">
        <v>65</v>
      </c>
      <c r="F143" s="16" t="e">
        <f>IF(#REF!&gt;=2,IFERROR(D143*_xlfn.SINGLE(_xlfn.XLOOKUP(B143,MA_ARTICULOS!$A:$A,MA_ARTICULOS!$E:$E,0)),""),"")</f>
        <v>#REF!</v>
      </c>
    </row>
    <row r="144" spans="1:6" x14ac:dyDescent="0.3">
      <c r="A144" s="11" t="e">
        <f>IF(#REF!&gt;=2,#REF!,"")</f>
        <v>#REF!</v>
      </c>
      <c r="B144" s="8">
        <v>11010027</v>
      </c>
      <c r="C144" s="8" t="s">
        <v>83</v>
      </c>
      <c r="D144" s="13">
        <v>0</v>
      </c>
      <c r="E144" s="15" t="s">
        <v>65</v>
      </c>
      <c r="F144" s="16" t="e">
        <f>IF(#REF!&gt;=2,IFERROR(D144*_xlfn.SINGLE(_xlfn.XLOOKUP(B144,MA_ARTICULOS!$A:$A,MA_ARTICULOS!$E:$E,0)),""),"")</f>
        <v>#REF!</v>
      </c>
    </row>
    <row r="145" spans="1:6" x14ac:dyDescent="0.3">
      <c r="A145" s="11" t="e">
        <f>IF(#REF!&gt;=2,#REF!,"")</f>
        <v>#REF!</v>
      </c>
      <c r="B145" s="8">
        <v>11010201</v>
      </c>
      <c r="C145" s="8" t="s">
        <v>84</v>
      </c>
      <c r="D145" s="13">
        <v>0</v>
      </c>
      <c r="E145" s="15" t="s">
        <v>65</v>
      </c>
      <c r="F145" s="16" t="e">
        <f>IF(#REF!&gt;=2,IFERROR(D145*_xlfn.SINGLE(_xlfn.XLOOKUP(B145,MA_ARTICULOS!$A:$A,MA_ARTICULOS!$E:$E,0)),""),"")</f>
        <v>#REF!</v>
      </c>
    </row>
    <row r="146" spans="1:6" x14ac:dyDescent="0.3">
      <c r="A146" s="11" t="e">
        <f>IF(#REF!&gt;=2,#REF!,"")</f>
        <v>#REF!</v>
      </c>
      <c r="B146" s="8">
        <v>11010202</v>
      </c>
      <c r="C146" s="8" t="s">
        <v>85</v>
      </c>
      <c r="D146" s="13">
        <v>0</v>
      </c>
      <c r="E146" s="15" t="s">
        <v>65</v>
      </c>
      <c r="F146" s="16" t="e">
        <f>IF(#REF!&gt;=2,IFERROR(D146*_xlfn.SINGLE(_xlfn.XLOOKUP(B146,MA_ARTICULOS!$A:$A,MA_ARTICULOS!$E:$E,0)),""),"")</f>
        <v>#REF!</v>
      </c>
    </row>
    <row r="147" spans="1:6" x14ac:dyDescent="0.3">
      <c r="A147" s="11" t="e">
        <f>IF(#REF!&gt;=2,#REF!,"")</f>
        <v>#REF!</v>
      </c>
      <c r="B147" s="8">
        <v>11010203</v>
      </c>
      <c r="C147" s="8" t="s">
        <v>86</v>
      </c>
      <c r="D147" s="13">
        <v>0</v>
      </c>
      <c r="E147" s="15" t="s">
        <v>65</v>
      </c>
      <c r="F147" s="16" t="e">
        <f>IF(#REF!&gt;=2,IFERROR(D147*_xlfn.SINGLE(_xlfn.XLOOKUP(B147,MA_ARTICULOS!$A:$A,MA_ARTICULOS!$E:$E,0)),""),"")</f>
        <v>#REF!</v>
      </c>
    </row>
    <row r="148" spans="1:6" x14ac:dyDescent="0.3">
      <c r="A148" s="11" t="e">
        <f>IF(#REF!&gt;=2,#REF!,"")</f>
        <v>#REF!</v>
      </c>
      <c r="B148" s="8">
        <v>11010204</v>
      </c>
      <c r="C148" s="8" t="s">
        <v>87</v>
      </c>
      <c r="D148" s="13">
        <v>0</v>
      </c>
      <c r="E148" s="15" t="s">
        <v>65</v>
      </c>
      <c r="F148" s="16" t="e">
        <f>IF(#REF!&gt;=2,IFERROR(D148*_xlfn.SINGLE(_xlfn.XLOOKUP(B148,MA_ARTICULOS!$A:$A,MA_ARTICULOS!$E:$E,0)),""),"")</f>
        <v>#REF!</v>
      </c>
    </row>
    <row r="149" spans="1:6" x14ac:dyDescent="0.3">
      <c r="A149" s="11" t="e">
        <f>IF(#REF!&gt;=2,#REF!,"")</f>
        <v>#REF!</v>
      </c>
      <c r="B149" s="8">
        <v>11010301</v>
      </c>
      <c r="C149" s="8" t="s">
        <v>88</v>
      </c>
      <c r="D149" s="13">
        <v>0</v>
      </c>
      <c r="E149" s="15" t="s">
        <v>65</v>
      </c>
      <c r="F149" s="16" t="e">
        <f>IF(#REF!&gt;=2,IFERROR(D149*_xlfn.SINGLE(_xlfn.XLOOKUP(B149,MA_ARTICULOS!$A:$A,MA_ARTICULOS!$E:$E,0)),""),"")</f>
        <v>#REF!</v>
      </c>
    </row>
    <row r="150" spans="1:6" x14ac:dyDescent="0.3">
      <c r="A150" s="11" t="e">
        <f>IF(#REF!&gt;=2,#REF!,"")</f>
        <v>#REF!</v>
      </c>
      <c r="B150" s="8">
        <v>11010302</v>
      </c>
      <c r="C150" s="8" t="s">
        <v>89</v>
      </c>
      <c r="D150" s="13">
        <v>0</v>
      </c>
      <c r="E150" s="15" t="s">
        <v>65</v>
      </c>
      <c r="F150" s="16" t="e">
        <f>IF(#REF!&gt;=2,IFERROR(D150*_xlfn.SINGLE(_xlfn.XLOOKUP(B150,MA_ARTICULOS!$A:$A,MA_ARTICULOS!$E:$E,0)),""),"")</f>
        <v>#REF!</v>
      </c>
    </row>
    <row r="151" spans="1:6" x14ac:dyDescent="0.3">
      <c r="A151" s="11" t="e">
        <f>IF(#REF!&gt;=2,#REF!,"")</f>
        <v>#REF!</v>
      </c>
      <c r="B151" s="8">
        <v>11010303</v>
      </c>
      <c r="C151" s="8" t="s">
        <v>90</v>
      </c>
      <c r="D151" s="13">
        <v>0</v>
      </c>
      <c r="E151" s="15" t="s">
        <v>65</v>
      </c>
      <c r="F151" s="16" t="e">
        <f>IF(#REF!&gt;=2,IFERROR(D151*_xlfn.SINGLE(_xlfn.XLOOKUP(B151,MA_ARTICULOS!$A:$A,MA_ARTICULOS!$E:$E,0)),""),"")</f>
        <v>#REF!</v>
      </c>
    </row>
    <row r="152" spans="1:6" x14ac:dyDescent="0.3">
      <c r="A152" s="11" t="e">
        <f>IF(#REF!&gt;=2,#REF!,"")</f>
        <v>#REF!</v>
      </c>
      <c r="B152" s="8">
        <v>11010304</v>
      </c>
      <c r="C152" s="8" t="s">
        <v>91</v>
      </c>
      <c r="D152" s="13">
        <v>0</v>
      </c>
      <c r="E152" s="15" t="s">
        <v>65</v>
      </c>
      <c r="F152" s="16" t="e">
        <f>IF(#REF!&gt;=2,IFERROR(D152*_xlfn.SINGLE(_xlfn.XLOOKUP(B152,MA_ARTICULOS!$A:$A,MA_ARTICULOS!$E:$E,0)),""),"")</f>
        <v>#REF!</v>
      </c>
    </row>
    <row r="153" spans="1:6" x14ac:dyDescent="0.3">
      <c r="A153" s="11" t="e">
        <f>IF(#REF!&gt;=2,#REF!,"")</f>
        <v>#REF!</v>
      </c>
      <c r="B153" s="8">
        <v>11010305</v>
      </c>
      <c r="C153" s="8" t="s">
        <v>92</v>
      </c>
      <c r="D153" s="13">
        <v>0</v>
      </c>
      <c r="E153" s="15" t="s">
        <v>65</v>
      </c>
      <c r="F153" s="16" t="e">
        <f>IF(#REF!&gt;=2,IFERROR(D153*_xlfn.SINGLE(_xlfn.XLOOKUP(B153,MA_ARTICULOS!$A:$A,MA_ARTICULOS!$E:$E,0)),""),"")</f>
        <v>#REF!</v>
      </c>
    </row>
    <row r="154" spans="1:6" x14ac:dyDescent="0.3">
      <c r="A154" s="11" t="e">
        <f>IF(#REF!&gt;=2,#REF!,"")</f>
        <v>#REF!</v>
      </c>
      <c r="B154" s="8">
        <v>11010306</v>
      </c>
      <c r="C154" s="8" t="s">
        <v>93</v>
      </c>
      <c r="D154" s="13">
        <v>0</v>
      </c>
      <c r="E154" s="15" t="s">
        <v>65</v>
      </c>
      <c r="F154" s="16" t="e">
        <f>IF(#REF!&gt;=2,IFERROR(D154*_xlfn.SINGLE(_xlfn.XLOOKUP(B154,MA_ARTICULOS!$A:$A,MA_ARTICULOS!$E:$E,0)),""),"")</f>
        <v>#REF!</v>
      </c>
    </row>
    <row r="155" spans="1:6" x14ac:dyDescent="0.3">
      <c r="A155" s="11" t="e">
        <f>IF(#REF!&gt;=2,#REF!,"")</f>
        <v>#REF!</v>
      </c>
      <c r="B155" s="8">
        <v>11010307</v>
      </c>
      <c r="C155" s="8" t="s">
        <v>94</v>
      </c>
      <c r="D155" s="13">
        <v>0</v>
      </c>
      <c r="E155" s="15" t="s">
        <v>65</v>
      </c>
      <c r="F155" s="16" t="e">
        <f>IF(#REF!&gt;=2,IFERROR(D155*_xlfn.SINGLE(_xlfn.XLOOKUP(B155,MA_ARTICULOS!$A:$A,MA_ARTICULOS!$E:$E,0)),""),"")</f>
        <v>#REF!</v>
      </c>
    </row>
    <row r="156" spans="1:6" x14ac:dyDescent="0.3">
      <c r="A156" s="11" t="e">
        <f>IF(#REF!&gt;=2,#REF!,"")</f>
        <v>#REF!</v>
      </c>
      <c r="B156" s="8">
        <v>11010308</v>
      </c>
      <c r="C156" s="8" t="s">
        <v>95</v>
      </c>
      <c r="D156" s="13">
        <v>0</v>
      </c>
      <c r="E156" s="15" t="s">
        <v>65</v>
      </c>
      <c r="F156" s="16" t="e">
        <f>IF(#REF!&gt;=2,IFERROR(D156*_xlfn.SINGLE(_xlfn.XLOOKUP(B156,MA_ARTICULOS!$A:$A,MA_ARTICULOS!$E:$E,0)),""),"")</f>
        <v>#REF!</v>
      </c>
    </row>
    <row r="157" spans="1:6" x14ac:dyDescent="0.3">
      <c r="A157" s="11" t="e">
        <f>IF(#REF!&gt;=2,#REF!,"")</f>
        <v>#REF!</v>
      </c>
      <c r="B157" s="8">
        <v>11010309</v>
      </c>
      <c r="C157" s="8" t="s">
        <v>96</v>
      </c>
      <c r="D157" s="13">
        <v>0</v>
      </c>
      <c r="E157" s="15" t="s">
        <v>65</v>
      </c>
      <c r="F157" s="16" t="e">
        <f>IF(#REF!&gt;=2,IFERROR(D157*_xlfn.SINGLE(_xlfn.XLOOKUP(B157,MA_ARTICULOS!$A:$A,MA_ARTICULOS!$E:$E,0)),""),"")</f>
        <v>#REF!</v>
      </c>
    </row>
    <row r="158" spans="1:6" x14ac:dyDescent="0.3">
      <c r="A158" s="11" t="e">
        <f>IF(#REF!&gt;=2,#REF!,"")</f>
        <v>#REF!</v>
      </c>
      <c r="B158" s="8">
        <v>11020001</v>
      </c>
      <c r="C158" s="8" t="s">
        <v>97</v>
      </c>
      <c r="D158" s="13">
        <v>0</v>
      </c>
      <c r="E158" s="15" t="s">
        <v>65</v>
      </c>
      <c r="F158" s="16" t="e">
        <f>IF(#REF!&gt;=2,IFERROR(D158*_xlfn.SINGLE(_xlfn.XLOOKUP(B158,MA_ARTICULOS!$A:$A,MA_ARTICULOS!$E:$E,0)),""),"")</f>
        <v>#REF!</v>
      </c>
    </row>
    <row r="159" spans="1:6" x14ac:dyDescent="0.3">
      <c r="A159" s="11" t="e">
        <f>IF(#REF!&gt;=2,#REF!,"")</f>
        <v>#REF!</v>
      </c>
      <c r="B159" s="8">
        <v>11020002</v>
      </c>
      <c r="C159" s="8" t="s">
        <v>98</v>
      </c>
      <c r="D159" s="13">
        <v>0</v>
      </c>
      <c r="E159" s="15" t="s">
        <v>65</v>
      </c>
      <c r="F159" s="16" t="e">
        <f>IF(#REF!&gt;=2,IFERROR(D159*_xlfn.SINGLE(_xlfn.XLOOKUP(B159,MA_ARTICULOS!$A:$A,MA_ARTICULOS!$E:$E,0)),""),"")</f>
        <v>#REF!</v>
      </c>
    </row>
    <row r="160" spans="1:6" x14ac:dyDescent="0.3">
      <c r="A160" s="11" t="e">
        <f>IF(#REF!&gt;=2,#REF!,"")</f>
        <v>#REF!</v>
      </c>
      <c r="B160" s="8">
        <v>11020003</v>
      </c>
      <c r="C160" s="8" t="s">
        <v>99</v>
      </c>
      <c r="D160" s="13">
        <v>0</v>
      </c>
      <c r="E160" s="15" t="s">
        <v>65</v>
      </c>
      <c r="F160" s="16" t="e">
        <f>IF(#REF!&gt;=2,IFERROR(D160*_xlfn.SINGLE(_xlfn.XLOOKUP(B160,MA_ARTICULOS!$A:$A,MA_ARTICULOS!$E:$E,0)),""),"")</f>
        <v>#REF!</v>
      </c>
    </row>
    <row r="161" spans="1:6" x14ac:dyDescent="0.3">
      <c r="A161" s="11" t="e">
        <f>IF(#REF!&gt;=2,#REF!,"")</f>
        <v>#REF!</v>
      </c>
      <c r="B161" s="8">
        <v>11020004</v>
      </c>
      <c r="C161" s="8" t="s">
        <v>100</v>
      </c>
      <c r="D161" s="13">
        <v>0</v>
      </c>
      <c r="E161" s="15" t="s">
        <v>65</v>
      </c>
      <c r="F161" s="16" t="e">
        <f>IF(#REF!&gt;=2,IFERROR(D161*_xlfn.SINGLE(_xlfn.XLOOKUP(B161,MA_ARTICULOS!$A:$A,MA_ARTICULOS!$E:$E,0)),""),"")</f>
        <v>#REF!</v>
      </c>
    </row>
    <row r="162" spans="1:6" x14ac:dyDescent="0.3">
      <c r="A162" s="11" t="e">
        <f>IF(#REF!&gt;=2,#REF!,"")</f>
        <v>#REF!</v>
      </c>
      <c r="B162" s="8">
        <v>11020005</v>
      </c>
      <c r="C162" s="8" t="s">
        <v>101</v>
      </c>
      <c r="D162" s="13">
        <v>0</v>
      </c>
      <c r="E162" s="15" t="s">
        <v>65</v>
      </c>
      <c r="F162" s="16" t="e">
        <f>IF(#REF!&gt;=2,IFERROR(D162*_xlfn.SINGLE(_xlfn.XLOOKUP(B162,MA_ARTICULOS!$A:$A,MA_ARTICULOS!$E:$E,0)),""),"")</f>
        <v>#REF!</v>
      </c>
    </row>
    <row r="163" spans="1:6" x14ac:dyDescent="0.3">
      <c r="A163" s="11" t="e">
        <f>IF(#REF!&gt;=2,#REF!,"")</f>
        <v>#REF!</v>
      </c>
      <c r="B163" s="8">
        <v>11020006</v>
      </c>
      <c r="C163" s="8" t="s">
        <v>102</v>
      </c>
      <c r="D163" s="13">
        <v>0</v>
      </c>
      <c r="E163" s="15" t="s">
        <v>65</v>
      </c>
      <c r="F163" s="16" t="e">
        <f>IF(#REF!&gt;=2,IFERROR(D163*_xlfn.SINGLE(_xlfn.XLOOKUP(B163,MA_ARTICULOS!$A:$A,MA_ARTICULOS!$E:$E,0)),""),"")</f>
        <v>#REF!</v>
      </c>
    </row>
    <row r="164" spans="1:6" x14ac:dyDescent="0.3">
      <c r="A164" s="11" t="e">
        <f>IF(#REF!&gt;=2,#REF!,"")</f>
        <v>#REF!</v>
      </c>
      <c r="B164" s="8">
        <v>11020007</v>
      </c>
      <c r="C164" s="8" t="s">
        <v>103</v>
      </c>
      <c r="D164" s="13">
        <v>0</v>
      </c>
      <c r="E164" s="15" t="s">
        <v>65</v>
      </c>
      <c r="F164" s="16" t="e">
        <f>IF(#REF!&gt;=2,IFERROR(D164*_xlfn.SINGLE(_xlfn.XLOOKUP(B164,MA_ARTICULOS!$A:$A,MA_ARTICULOS!$E:$E,0)),""),"")</f>
        <v>#REF!</v>
      </c>
    </row>
    <row r="165" spans="1:6" x14ac:dyDescent="0.3">
      <c r="A165" s="11" t="e">
        <f>IF(#REF!&gt;=2,#REF!,"")</f>
        <v>#REF!</v>
      </c>
      <c r="B165" s="8">
        <v>11020008</v>
      </c>
      <c r="C165" s="8" t="s">
        <v>104</v>
      </c>
      <c r="D165" s="13">
        <v>0</v>
      </c>
      <c r="E165" s="15" t="s">
        <v>65</v>
      </c>
      <c r="F165" s="16" t="e">
        <f>IF(#REF!&gt;=2,IFERROR(D165*_xlfn.SINGLE(_xlfn.XLOOKUP(B165,MA_ARTICULOS!$A:$A,MA_ARTICULOS!$E:$E,0)),""),"")</f>
        <v>#REF!</v>
      </c>
    </row>
    <row r="166" spans="1:6" x14ac:dyDescent="0.3">
      <c r="A166" s="11" t="e">
        <f>IF(#REF!&gt;=2,#REF!,"")</f>
        <v>#REF!</v>
      </c>
      <c r="B166" s="8">
        <v>11020009</v>
      </c>
      <c r="C166" s="8" t="s">
        <v>105</v>
      </c>
      <c r="D166" s="13">
        <v>0</v>
      </c>
      <c r="E166" s="15" t="s">
        <v>65</v>
      </c>
      <c r="F166" s="16" t="e">
        <f>IF(#REF!&gt;=2,IFERROR(D166*_xlfn.SINGLE(_xlfn.XLOOKUP(B166,MA_ARTICULOS!$A:$A,MA_ARTICULOS!$E:$E,0)),""),"")</f>
        <v>#REF!</v>
      </c>
    </row>
    <row r="167" spans="1:6" x14ac:dyDescent="0.3">
      <c r="A167" s="11" t="e">
        <f>IF(#REF!&gt;=2,#REF!,"")</f>
        <v>#REF!</v>
      </c>
      <c r="B167" s="8">
        <v>11020010</v>
      </c>
      <c r="C167" s="8" t="s">
        <v>106</v>
      </c>
      <c r="D167" s="13">
        <v>0</v>
      </c>
      <c r="E167" s="15" t="s">
        <v>65</v>
      </c>
      <c r="F167" s="16" t="e">
        <f>IF(#REF!&gt;=2,IFERROR(D167*_xlfn.SINGLE(_xlfn.XLOOKUP(B167,MA_ARTICULOS!$A:$A,MA_ARTICULOS!$E:$E,0)),""),"")</f>
        <v>#REF!</v>
      </c>
    </row>
    <row r="168" spans="1:6" x14ac:dyDescent="0.3">
      <c r="A168" s="11" t="e">
        <f>IF(#REF!&gt;=2,#REF!,"")</f>
        <v>#REF!</v>
      </c>
      <c r="B168" s="8">
        <v>11020014</v>
      </c>
      <c r="C168" s="8" t="s">
        <v>107</v>
      </c>
      <c r="D168" s="13">
        <v>0</v>
      </c>
      <c r="E168" s="15" t="s">
        <v>65</v>
      </c>
      <c r="F168" s="16" t="e">
        <f>IF(#REF!&gt;=2,IFERROR(D168*_xlfn.SINGLE(_xlfn.XLOOKUP(B168,MA_ARTICULOS!$A:$A,MA_ARTICULOS!$E:$E,0)),""),"")</f>
        <v>#REF!</v>
      </c>
    </row>
    <row r="169" spans="1:6" x14ac:dyDescent="0.3">
      <c r="A169" s="11" t="e">
        <f>IF(#REF!&gt;=2,#REF!,"")</f>
        <v>#REF!</v>
      </c>
      <c r="B169" s="8">
        <v>11020015</v>
      </c>
      <c r="C169" s="8" t="s">
        <v>108</v>
      </c>
      <c r="D169" s="13">
        <v>0</v>
      </c>
      <c r="E169" s="15" t="s">
        <v>65</v>
      </c>
      <c r="F169" s="16" t="e">
        <f>IF(#REF!&gt;=2,IFERROR(D169*_xlfn.SINGLE(_xlfn.XLOOKUP(B169,MA_ARTICULOS!$A:$A,MA_ARTICULOS!$E:$E,0)),""),"")</f>
        <v>#REF!</v>
      </c>
    </row>
    <row r="170" spans="1:6" x14ac:dyDescent="0.3">
      <c r="A170" s="11" t="e">
        <f>IF(#REF!&gt;=2,#REF!,"")</f>
        <v>#REF!</v>
      </c>
      <c r="B170" s="8">
        <v>11020016</v>
      </c>
      <c r="C170" s="8" t="s">
        <v>109</v>
      </c>
      <c r="D170" s="13">
        <v>0</v>
      </c>
      <c r="E170" s="15" t="s">
        <v>65</v>
      </c>
      <c r="F170" s="16" t="e">
        <f>IF(#REF!&gt;=2,IFERROR(D170*_xlfn.SINGLE(_xlfn.XLOOKUP(B170,MA_ARTICULOS!$A:$A,MA_ARTICULOS!$E:$E,0)),""),"")</f>
        <v>#REF!</v>
      </c>
    </row>
    <row r="171" spans="1:6" x14ac:dyDescent="0.3">
      <c r="A171" s="11" t="e">
        <f>IF(#REF!&gt;=2,#REF!,"")</f>
        <v>#REF!</v>
      </c>
      <c r="B171" s="8">
        <v>12040001</v>
      </c>
      <c r="C171" s="8" t="s">
        <v>110</v>
      </c>
      <c r="D171" s="13">
        <v>0</v>
      </c>
      <c r="E171" s="15" t="s">
        <v>65</v>
      </c>
      <c r="F171" s="16" t="e">
        <f>IF(#REF!&gt;=2,IFERROR(D171*_xlfn.SINGLE(_xlfn.XLOOKUP(B171,MA_ARTICULOS!$A:$A,MA_ARTICULOS!$E:$E,0)),""),"")</f>
        <v>#REF!</v>
      </c>
    </row>
    <row r="172" spans="1:6" x14ac:dyDescent="0.3">
      <c r="A172" s="11" t="e">
        <f>IF(#REF!&gt;=2,#REF!,"")</f>
        <v>#REF!</v>
      </c>
      <c r="B172" s="8">
        <v>12040002</v>
      </c>
      <c r="C172" s="8" t="s">
        <v>111</v>
      </c>
      <c r="D172" s="13">
        <v>0</v>
      </c>
      <c r="E172" s="15" t="s">
        <v>65</v>
      </c>
      <c r="F172" s="16" t="e">
        <f>IF(#REF!&gt;=2,IFERROR(D172*_xlfn.SINGLE(_xlfn.XLOOKUP(B172,MA_ARTICULOS!$A:$A,MA_ARTICULOS!$E:$E,0)),""),"")</f>
        <v>#REF!</v>
      </c>
    </row>
    <row r="173" spans="1:6" x14ac:dyDescent="0.3">
      <c r="A173" s="11" t="e">
        <f>IF(#REF!&gt;=2,#REF!,"")</f>
        <v>#REF!</v>
      </c>
      <c r="B173" s="8">
        <v>12080001</v>
      </c>
      <c r="C173" s="8" t="s">
        <v>112</v>
      </c>
      <c r="D173" s="13">
        <v>0</v>
      </c>
      <c r="E173" s="15" t="s">
        <v>65</v>
      </c>
      <c r="F173" s="16" t="e">
        <f>IF(#REF!&gt;=2,IFERROR(D173*_xlfn.SINGLE(_xlfn.XLOOKUP(B173,MA_ARTICULOS!$A:$A,MA_ARTICULOS!$E:$E,0)),""),"")</f>
        <v>#REF!</v>
      </c>
    </row>
    <row r="174" spans="1:6" x14ac:dyDescent="0.3">
      <c r="A174" s="11" t="e">
        <f>IF(#REF!&gt;=2,#REF!,"")</f>
        <v>#REF!</v>
      </c>
      <c r="B174" s="8">
        <v>12080002</v>
      </c>
      <c r="C174" s="8" t="s">
        <v>113</v>
      </c>
      <c r="D174" s="13">
        <v>0</v>
      </c>
      <c r="E174" s="15" t="s">
        <v>65</v>
      </c>
      <c r="F174" s="16" t="e">
        <f>IF(#REF!&gt;=2,IFERROR(D174*_xlfn.SINGLE(_xlfn.XLOOKUP(B174,MA_ARTICULOS!$A:$A,MA_ARTICULOS!$E:$E,0)),""),"")</f>
        <v>#REF!</v>
      </c>
    </row>
    <row r="175" spans="1:6" x14ac:dyDescent="0.3">
      <c r="A175" s="11" t="e">
        <f>IF(#REF!&gt;=2,#REF!,"")</f>
        <v>#REF!</v>
      </c>
      <c r="B175" s="8">
        <v>12080003</v>
      </c>
      <c r="C175" s="8" t="s">
        <v>114</v>
      </c>
      <c r="D175" s="13">
        <v>0</v>
      </c>
      <c r="E175" s="15" t="s">
        <v>65</v>
      </c>
      <c r="F175" s="16" t="e">
        <f>IF(#REF!&gt;=2,IFERROR(D175*_xlfn.SINGLE(_xlfn.XLOOKUP(B175,MA_ARTICULOS!$A:$A,MA_ARTICULOS!$E:$E,0)),""),"")</f>
        <v>#REF!</v>
      </c>
    </row>
    <row r="176" spans="1:6" x14ac:dyDescent="0.3">
      <c r="A176" s="11" t="e">
        <f>IF(#REF!&gt;=2,#REF!,"")</f>
        <v>#REF!</v>
      </c>
      <c r="B176" s="8">
        <v>13010007</v>
      </c>
      <c r="C176" s="8" t="s">
        <v>115</v>
      </c>
      <c r="D176" s="13">
        <v>0</v>
      </c>
      <c r="E176" s="15" t="s">
        <v>65</v>
      </c>
      <c r="F176" s="16" t="e">
        <f>IF(#REF!&gt;=2,IFERROR(D176*_xlfn.SINGLE(_xlfn.XLOOKUP(B176,MA_ARTICULOS!$A:$A,MA_ARTICULOS!$E:$E,0)),""),"")</f>
        <v>#REF!</v>
      </c>
    </row>
    <row r="177" spans="1:6" x14ac:dyDescent="0.3">
      <c r="A177" s="11" t="e">
        <f>IF(#REF!&gt;=2,#REF!,"")</f>
        <v>#REF!</v>
      </c>
      <c r="B177" s="8">
        <v>13010008</v>
      </c>
      <c r="C177" s="8" t="s">
        <v>116</v>
      </c>
      <c r="D177" s="13">
        <v>0</v>
      </c>
      <c r="E177" s="15" t="s">
        <v>65</v>
      </c>
      <c r="F177" s="16" t="e">
        <f>IF(#REF!&gt;=2,IFERROR(D177*_xlfn.SINGLE(_xlfn.XLOOKUP(B177,MA_ARTICULOS!$A:$A,MA_ARTICULOS!$E:$E,0)),""),"")</f>
        <v>#REF!</v>
      </c>
    </row>
    <row r="178" spans="1:6" x14ac:dyDescent="0.3">
      <c r="A178" s="11" t="e">
        <f>IF(#REF!&gt;=2,#REF!,"")</f>
        <v>#REF!</v>
      </c>
      <c r="B178" s="8">
        <v>13019001</v>
      </c>
      <c r="C178" s="8" t="s">
        <v>117</v>
      </c>
      <c r="D178" s="13">
        <v>0</v>
      </c>
      <c r="E178" s="15" t="s">
        <v>65</v>
      </c>
      <c r="F178" s="16" t="e">
        <f>IF(#REF!&gt;=2,IFERROR(D178*_xlfn.SINGLE(_xlfn.XLOOKUP(B178,MA_ARTICULOS!$A:$A,MA_ARTICULOS!$E:$E,0)),""),"")</f>
        <v>#REF!</v>
      </c>
    </row>
    <row r="179" spans="1:6" x14ac:dyDescent="0.3">
      <c r="A179" s="11" t="e">
        <f>IF(#REF!&gt;=2,#REF!,"")</f>
        <v>#REF!</v>
      </c>
      <c r="B179" s="8">
        <v>13019002</v>
      </c>
      <c r="C179" s="8" t="s">
        <v>118</v>
      </c>
      <c r="D179" s="13">
        <v>0</v>
      </c>
      <c r="E179" s="15" t="s">
        <v>65</v>
      </c>
      <c r="F179" s="16" t="e">
        <f>IF(#REF!&gt;=2,IFERROR(D179*_xlfn.SINGLE(_xlfn.XLOOKUP(B179,MA_ARTICULOS!$A:$A,MA_ARTICULOS!$E:$E,0)),""),"")</f>
        <v>#REF!</v>
      </c>
    </row>
    <row r="180" spans="1:6" x14ac:dyDescent="0.3">
      <c r="A180" s="11" t="e">
        <f>IF(#REF!&gt;=2,#REF!,"")</f>
        <v>#REF!</v>
      </c>
      <c r="B180" s="8">
        <v>13019003</v>
      </c>
      <c r="C180" s="8" t="s">
        <v>119</v>
      </c>
      <c r="D180" s="13">
        <v>0</v>
      </c>
      <c r="E180" s="15" t="s">
        <v>65</v>
      </c>
      <c r="F180" s="16" t="e">
        <f>IF(#REF!&gt;=2,IFERROR(D180*_xlfn.SINGLE(_xlfn.XLOOKUP(B180,MA_ARTICULOS!$A:$A,MA_ARTICULOS!$E:$E,0)),""),"")</f>
        <v>#REF!</v>
      </c>
    </row>
    <row r="181" spans="1:6" x14ac:dyDescent="0.3">
      <c r="A181" s="11" t="e">
        <f>IF(#REF!&gt;=2,#REF!,"")</f>
        <v>#REF!</v>
      </c>
      <c r="B181" s="8">
        <v>13019004</v>
      </c>
      <c r="C181" s="8" t="s">
        <v>120</v>
      </c>
      <c r="D181" s="13">
        <v>0</v>
      </c>
      <c r="E181" s="15" t="s">
        <v>65</v>
      </c>
      <c r="F181" s="16" t="e">
        <f>IF(#REF!&gt;=2,IFERROR(D181*_xlfn.SINGLE(_xlfn.XLOOKUP(B181,MA_ARTICULOS!$A:$A,MA_ARTICULOS!$E:$E,0)),""),"")</f>
        <v>#REF!</v>
      </c>
    </row>
    <row r="182" spans="1:6" x14ac:dyDescent="0.3">
      <c r="A182" s="11" t="e">
        <f>IF(#REF!&gt;=2,#REF!,"")</f>
        <v>#REF!</v>
      </c>
      <c r="B182" s="8">
        <v>13019005</v>
      </c>
      <c r="C182" s="8" t="s">
        <v>121</v>
      </c>
      <c r="D182" s="13">
        <v>0</v>
      </c>
      <c r="E182" s="15" t="s">
        <v>65</v>
      </c>
      <c r="F182" s="16" t="e">
        <f>IF(#REF!&gt;=2,IFERROR(D182*_xlfn.SINGLE(_xlfn.XLOOKUP(B182,MA_ARTICULOS!$A:$A,MA_ARTICULOS!$E:$E,0)),""),"")</f>
        <v>#REF!</v>
      </c>
    </row>
    <row r="183" spans="1:6" x14ac:dyDescent="0.3">
      <c r="A183" s="11" t="e">
        <f>IF(#REF!&gt;=2,#REF!,"")</f>
        <v>#REF!</v>
      </c>
      <c r="B183" s="8">
        <v>13019007</v>
      </c>
      <c r="C183" s="8" t="s">
        <v>122</v>
      </c>
      <c r="D183" s="13">
        <v>0</v>
      </c>
      <c r="E183" s="15" t="s">
        <v>65</v>
      </c>
      <c r="F183" s="16" t="e">
        <f>IF(#REF!&gt;=2,IFERROR(D183*_xlfn.SINGLE(_xlfn.XLOOKUP(B183,MA_ARTICULOS!$A:$A,MA_ARTICULOS!$E:$E,0)),""),"")</f>
        <v>#REF!</v>
      </c>
    </row>
    <row r="184" spans="1:6" x14ac:dyDescent="0.3">
      <c r="A184" s="11" t="e">
        <f>IF(#REF!&gt;=2,#REF!,"")</f>
        <v>#REF!</v>
      </c>
      <c r="B184" s="8">
        <v>13019008</v>
      </c>
      <c r="C184" s="8" t="s">
        <v>123</v>
      </c>
      <c r="D184" s="13">
        <v>0</v>
      </c>
      <c r="E184" s="15" t="s">
        <v>65</v>
      </c>
      <c r="F184" s="16" t="e">
        <f>IF(#REF!&gt;=2,IFERROR(D184*_xlfn.SINGLE(_xlfn.XLOOKUP(B184,MA_ARTICULOS!$A:$A,MA_ARTICULOS!$E:$E,0)),""),"")</f>
        <v>#REF!</v>
      </c>
    </row>
    <row r="185" spans="1:6" x14ac:dyDescent="0.3">
      <c r="A185" s="11" t="e">
        <f>IF(#REF!&gt;=2,#REF!,"")</f>
        <v>#REF!</v>
      </c>
      <c r="B185" s="8">
        <v>13020004</v>
      </c>
      <c r="C185" s="8" t="s">
        <v>124</v>
      </c>
      <c r="D185" s="13">
        <v>0</v>
      </c>
      <c r="E185" s="15" t="s">
        <v>65</v>
      </c>
      <c r="F185" s="16" t="e">
        <f>IF(#REF!&gt;=2,IFERROR(D185*_xlfn.SINGLE(_xlfn.XLOOKUP(B185,MA_ARTICULOS!$A:$A,MA_ARTICULOS!$E:$E,0)),""),"")</f>
        <v>#REF!</v>
      </c>
    </row>
    <row r="186" spans="1:6" x14ac:dyDescent="0.3">
      <c r="A186" s="11" t="e">
        <f>IF(#REF!&gt;=2,#REF!,"")</f>
        <v>#REF!</v>
      </c>
      <c r="B186" s="8">
        <v>13020005</v>
      </c>
      <c r="C186" s="8" t="s">
        <v>125</v>
      </c>
      <c r="D186" s="13">
        <v>0</v>
      </c>
      <c r="E186" s="15" t="s">
        <v>65</v>
      </c>
      <c r="F186" s="16" t="e">
        <f>IF(#REF!&gt;=2,IFERROR(D186*_xlfn.SINGLE(_xlfn.XLOOKUP(B186,MA_ARTICULOS!$A:$A,MA_ARTICULOS!$E:$E,0)),""),"")</f>
        <v>#REF!</v>
      </c>
    </row>
    <row r="187" spans="1:6" x14ac:dyDescent="0.3">
      <c r="A187" s="11" t="e">
        <f>IF(#REF!&gt;=2,#REF!,"")</f>
        <v>#REF!</v>
      </c>
      <c r="B187" s="8">
        <v>13040001</v>
      </c>
      <c r="C187" s="8" t="s">
        <v>126</v>
      </c>
      <c r="D187" s="13">
        <v>0</v>
      </c>
      <c r="E187" s="15" t="s">
        <v>65</v>
      </c>
      <c r="F187" s="16" t="e">
        <f>IF(#REF!&gt;=2,IFERROR(D187*_xlfn.SINGLE(_xlfn.XLOOKUP(B187,MA_ARTICULOS!$A:$A,MA_ARTICULOS!$E:$E,0)),""),"")</f>
        <v>#REF!</v>
      </c>
    </row>
    <row r="188" spans="1:6" x14ac:dyDescent="0.3">
      <c r="A188" s="11" t="e">
        <f>IF(#REF!&gt;=2,#REF!,"")</f>
        <v>#REF!</v>
      </c>
      <c r="B188" s="8">
        <v>13040002</v>
      </c>
      <c r="C188" s="8" t="s">
        <v>127</v>
      </c>
      <c r="D188" s="13">
        <v>0</v>
      </c>
      <c r="E188" s="15" t="s">
        <v>65</v>
      </c>
      <c r="F188" s="16" t="e">
        <f>IF(#REF!&gt;=2,IFERROR(D188*_xlfn.SINGLE(_xlfn.XLOOKUP(B188,MA_ARTICULOS!$A:$A,MA_ARTICULOS!$E:$E,0)),""),"")</f>
        <v>#REF!</v>
      </c>
    </row>
    <row r="189" spans="1:6" x14ac:dyDescent="0.3">
      <c r="A189" s="11" t="e">
        <f>IF(#REF!&gt;=2,#REF!,"")</f>
        <v>#REF!</v>
      </c>
      <c r="B189" s="8">
        <v>13040003</v>
      </c>
      <c r="C189" s="8" t="s">
        <v>128</v>
      </c>
      <c r="D189" s="13">
        <v>0</v>
      </c>
      <c r="E189" s="15" t="s">
        <v>65</v>
      </c>
      <c r="F189" s="16" t="e">
        <f>IF(#REF!&gt;=2,IFERROR(D189*_xlfn.SINGLE(_xlfn.XLOOKUP(B189,MA_ARTICULOS!$A:$A,MA_ARTICULOS!$E:$E,0)),""),"")</f>
        <v>#REF!</v>
      </c>
    </row>
    <row r="190" spans="1:6" x14ac:dyDescent="0.3">
      <c r="A190" s="11" t="e">
        <f>IF(#REF!&gt;=2,#REF!,"")</f>
        <v>#REF!</v>
      </c>
      <c r="B190" s="8">
        <v>13040004</v>
      </c>
      <c r="C190" s="8" t="s">
        <v>129</v>
      </c>
      <c r="D190" s="13">
        <v>0</v>
      </c>
      <c r="E190" s="15" t="s">
        <v>65</v>
      </c>
      <c r="F190" s="16" t="e">
        <f>IF(#REF!&gt;=2,IFERROR(D190*_xlfn.SINGLE(_xlfn.XLOOKUP(B190,MA_ARTICULOS!$A:$A,MA_ARTICULOS!$E:$E,0)),""),"")</f>
        <v>#REF!</v>
      </c>
    </row>
    <row r="191" spans="1:6" x14ac:dyDescent="0.3">
      <c r="A191" s="11" t="e">
        <f>IF(#REF!&gt;=2,#REF!,"")</f>
        <v>#REF!</v>
      </c>
      <c r="B191" s="8">
        <v>13040005</v>
      </c>
      <c r="C191" s="8" t="s">
        <v>130</v>
      </c>
      <c r="D191" s="13">
        <v>0</v>
      </c>
      <c r="E191" s="15" t="s">
        <v>65</v>
      </c>
      <c r="F191" s="16" t="e">
        <f>IF(#REF!&gt;=2,IFERROR(D191*_xlfn.SINGLE(_xlfn.XLOOKUP(B191,MA_ARTICULOS!$A:$A,MA_ARTICULOS!$E:$E,0)),""),"")</f>
        <v>#REF!</v>
      </c>
    </row>
    <row r="192" spans="1:6" x14ac:dyDescent="0.3">
      <c r="A192" s="11" t="e">
        <f>IF(#REF!&gt;=2,#REF!,"")</f>
        <v>#REF!</v>
      </c>
      <c r="B192" s="8">
        <v>13040006</v>
      </c>
      <c r="C192" s="8" t="s">
        <v>131</v>
      </c>
      <c r="D192" s="13">
        <v>0</v>
      </c>
      <c r="E192" s="15" t="s">
        <v>65</v>
      </c>
      <c r="F192" s="16" t="e">
        <f>IF(#REF!&gt;=2,IFERROR(D192*_xlfn.SINGLE(_xlfn.XLOOKUP(B192,MA_ARTICULOS!$A:$A,MA_ARTICULOS!$E:$E,0)),""),"")</f>
        <v>#REF!</v>
      </c>
    </row>
    <row r="193" spans="1:6" x14ac:dyDescent="0.3">
      <c r="A193" s="11" t="e">
        <f>IF(#REF!&gt;=2,#REF!,"")</f>
        <v>#REF!</v>
      </c>
      <c r="B193" s="8">
        <v>13040007</v>
      </c>
      <c r="C193" s="8" t="s">
        <v>132</v>
      </c>
      <c r="D193" s="13">
        <v>0</v>
      </c>
      <c r="E193" s="15" t="s">
        <v>65</v>
      </c>
      <c r="F193" s="16" t="e">
        <f>IF(#REF!&gt;=2,IFERROR(D193*_xlfn.SINGLE(_xlfn.XLOOKUP(B193,MA_ARTICULOS!$A:$A,MA_ARTICULOS!$E:$E,0)),""),"")</f>
        <v>#REF!</v>
      </c>
    </row>
    <row r="194" spans="1:6" x14ac:dyDescent="0.3">
      <c r="A194" s="11" t="e">
        <f>IF(#REF!&gt;=2,#REF!,"")</f>
        <v>#REF!</v>
      </c>
      <c r="B194" s="8">
        <v>13040008</v>
      </c>
      <c r="C194" s="8" t="s">
        <v>133</v>
      </c>
      <c r="D194" s="13">
        <v>0</v>
      </c>
      <c r="E194" s="15" t="s">
        <v>65</v>
      </c>
      <c r="F194" s="16" t="e">
        <f>IF(#REF!&gt;=2,IFERROR(D194*_xlfn.SINGLE(_xlfn.XLOOKUP(B194,MA_ARTICULOS!$A:$A,MA_ARTICULOS!$E:$E,0)),""),"")</f>
        <v>#REF!</v>
      </c>
    </row>
    <row r="195" spans="1:6" x14ac:dyDescent="0.3">
      <c r="A195" s="11" t="e">
        <f>IF(#REF!&gt;=2,#REF!,"")</f>
        <v>#REF!</v>
      </c>
      <c r="B195" s="8">
        <v>13040009</v>
      </c>
      <c r="C195" s="8" t="s">
        <v>134</v>
      </c>
      <c r="D195" s="13">
        <v>0</v>
      </c>
      <c r="E195" s="15" t="s">
        <v>65</v>
      </c>
      <c r="F195" s="16" t="e">
        <f>IF(#REF!&gt;=2,IFERROR(D195*_xlfn.SINGLE(_xlfn.XLOOKUP(B195,MA_ARTICULOS!$A:$A,MA_ARTICULOS!$E:$E,0)),""),"")</f>
        <v>#REF!</v>
      </c>
    </row>
    <row r="196" spans="1:6" x14ac:dyDescent="0.3">
      <c r="A196" s="11" t="e">
        <f>IF(#REF!&gt;=2,#REF!,"")</f>
        <v>#REF!</v>
      </c>
      <c r="B196" s="8">
        <v>13040010</v>
      </c>
      <c r="C196" s="8" t="s">
        <v>135</v>
      </c>
      <c r="D196" s="13">
        <v>0</v>
      </c>
      <c r="E196" s="15" t="s">
        <v>65</v>
      </c>
      <c r="F196" s="16" t="e">
        <f>IF(#REF!&gt;=2,IFERROR(D196*_xlfn.SINGLE(_xlfn.XLOOKUP(B196,MA_ARTICULOS!$A:$A,MA_ARTICULOS!$E:$E,0)),""),"")</f>
        <v>#REF!</v>
      </c>
    </row>
    <row r="197" spans="1:6" x14ac:dyDescent="0.3">
      <c r="A197" s="11" t="e">
        <f>IF(#REF!&gt;=2,#REF!,"")</f>
        <v>#REF!</v>
      </c>
      <c r="B197" s="8">
        <v>13040011</v>
      </c>
      <c r="C197" s="8" t="s">
        <v>136</v>
      </c>
      <c r="D197" s="13">
        <v>0</v>
      </c>
      <c r="E197" s="15" t="s">
        <v>65</v>
      </c>
      <c r="F197" s="16" t="e">
        <f>IF(#REF!&gt;=2,IFERROR(D197*_xlfn.SINGLE(_xlfn.XLOOKUP(B197,MA_ARTICULOS!$A:$A,MA_ARTICULOS!$E:$E,0)),""),"")</f>
        <v>#REF!</v>
      </c>
    </row>
    <row r="198" spans="1:6" x14ac:dyDescent="0.3">
      <c r="A198" s="11" t="e">
        <f>IF(#REF!&gt;=2,#REF!,"")</f>
        <v>#REF!</v>
      </c>
      <c r="B198" s="8">
        <v>13040012</v>
      </c>
      <c r="C198" s="8" t="s">
        <v>137</v>
      </c>
      <c r="D198" s="13">
        <v>0</v>
      </c>
      <c r="E198" s="15" t="s">
        <v>65</v>
      </c>
      <c r="F198" s="16" t="e">
        <f>IF(#REF!&gt;=2,IFERROR(D198*_xlfn.SINGLE(_xlfn.XLOOKUP(B198,MA_ARTICULOS!$A:$A,MA_ARTICULOS!$E:$E,0)),""),"")</f>
        <v>#REF!</v>
      </c>
    </row>
    <row r="199" spans="1:6" x14ac:dyDescent="0.3">
      <c r="A199" s="11" t="e">
        <f>IF(#REF!&gt;=2,#REF!,"")</f>
        <v>#REF!</v>
      </c>
      <c r="B199" s="8">
        <v>13040013</v>
      </c>
      <c r="C199" s="8" t="s">
        <v>138</v>
      </c>
      <c r="D199" s="13">
        <v>0</v>
      </c>
      <c r="E199" s="15" t="s">
        <v>65</v>
      </c>
      <c r="F199" s="16" t="e">
        <f>IF(#REF!&gt;=2,IFERROR(D199*_xlfn.SINGLE(_xlfn.XLOOKUP(B199,MA_ARTICULOS!$A:$A,MA_ARTICULOS!$E:$E,0)),""),"")</f>
        <v>#REF!</v>
      </c>
    </row>
    <row r="200" spans="1:6" x14ac:dyDescent="0.3">
      <c r="A200" s="11" t="e">
        <f>IF(#REF!&gt;=2,#REF!,"")</f>
        <v>#REF!</v>
      </c>
      <c r="B200" s="8">
        <v>13040014</v>
      </c>
      <c r="C200" s="8" t="s">
        <v>139</v>
      </c>
      <c r="D200" s="13">
        <v>0</v>
      </c>
      <c r="E200" s="15" t="s">
        <v>65</v>
      </c>
      <c r="F200" s="16" t="e">
        <f>IF(#REF!&gt;=2,IFERROR(D200*_xlfn.SINGLE(_xlfn.XLOOKUP(B200,MA_ARTICULOS!$A:$A,MA_ARTICULOS!$E:$E,0)),""),"")</f>
        <v>#REF!</v>
      </c>
    </row>
    <row r="201" spans="1:6" x14ac:dyDescent="0.3">
      <c r="A201" s="11" t="e">
        <f>IF(#REF!&gt;=2,#REF!,"")</f>
        <v>#REF!</v>
      </c>
      <c r="B201" s="8">
        <v>13040015</v>
      </c>
      <c r="C201" s="8" t="s">
        <v>140</v>
      </c>
      <c r="D201" s="13">
        <v>0</v>
      </c>
      <c r="E201" s="15" t="s">
        <v>65</v>
      </c>
      <c r="F201" s="16" t="e">
        <f>IF(#REF!&gt;=2,IFERROR(D201*_xlfn.SINGLE(_xlfn.XLOOKUP(B201,MA_ARTICULOS!$A:$A,MA_ARTICULOS!$E:$E,0)),""),"")</f>
        <v>#REF!</v>
      </c>
    </row>
    <row r="202" spans="1:6" x14ac:dyDescent="0.3">
      <c r="A202" s="11" t="e">
        <f>IF(#REF!&gt;=2,#REF!,"")</f>
        <v>#REF!</v>
      </c>
      <c r="B202" s="8">
        <v>13040016</v>
      </c>
      <c r="C202" s="8" t="s">
        <v>141</v>
      </c>
      <c r="D202" s="13">
        <v>0</v>
      </c>
      <c r="E202" s="15" t="s">
        <v>65</v>
      </c>
      <c r="F202" s="16" t="e">
        <f>IF(#REF!&gt;=2,IFERROR(D202*_xlfn.SINGLE(_xlfn.XLOOKUP(B202,MA_ARTICULOS!$A:$A,MA_ARTICULOS!$E:$E,0)),""),"")</f>
        <v>#REF!</v>
      </c>
    </row>
    <row r="203" spans="1:6" x14ac:dyDescent="0.3">
      <c r="A203" s="11" t="e">
        <f>IF(#REF!&gt;=2,#REF!,"")</f>
        <v>#REF!</v>
      </c>
      <c r="B203" s="8">
        <v>13040017</v>
      </c>
      <c r="C203" s="8" t="s">
        <v>142</v>
      </c>
      <c r="D203" s="13">
        <v>0</v>
      </c>
      <c r="E203" s="15" t="s">
        <v>65</v>
      </c>
      <c r="F203" s="16" t="e">
        <f>IF(#REF!&gt;=2,IFERROR(D203*_xlfn.SINGLE(_xlfn.XLOOKUP(B203,MA_ARTICULOS!$A:$A,MA_ARTICULOS!$E:$E,0)),""),"")</f>
        <v>#REF!</v>
      </c>
    </row>
    <row r="204" spans="1:6" x14ac:dyDescent="0.3">
      <c r="A204" s="11" t="e">
        <f>IF(#REF!&gt;=2,#REF!,"")</f>
        <v>#REF!</v>
      </c>
      <c r="B204" s="8">
        <v>13040018</v>
      </c>
      <c r="C204" s="8" t="s">
        <v>143</v>
      </c>
      <c r="D204" s="13">
        <v>0</v>
      </c>
      <c r="E204" s="15" t="s">
        <v>65</v>
      </c>
      <c r="F204" s="16" t="e">
        <f>IF(#REF!&gt;=2,IFERROR(D204*_xlfn.SINGLE(_xlfn.XLOOKUP(B204,MA_ARTICULOS!$A:$A,MA_ARTICULOS!$E:$E,0)),""),"")</f>
        <v>#REF!</v>
      </c>
    </row>
    <row r="205" spans="1:6" x14ac:dyDescent="0.3">
      <c r="A205" s="11" t="e">
        <f>IF(#REF!&gt;=2,#REF!,"")</f>
        <v>#REF!</v>
      </c>
      <c r="B205" s="8">
        <v>13040101</v>
      </c>
      <c r="C205" s="8" t="s">
        <v>144</v>
      </c>
      <c r="D205" s="13">
        <v>0</v>
      </c>
      <c r="E205" s="15" t="s">
        <v>65</v>
      </c>
      <c r="F205" s="16" t="e">
        <f>IF(#REF!&gt;=2,IFERROR(D205*_xlfn.SINGLE(_xlfn.XLOOKUP(B205,MA_ARTICULOS!$A:$A,MA_ARTICULOS!$E:$E,0)),""),"")</f>
        <v>#REF!</v>
      </c>
    </row>
    <row r="206" spans="1:6" x14ac:dyDescent="0.3">
      <c r="A206" s="11" t="e">
        <f>IF(#REF!&gt;=2,#REF!,"")</f>
        <v>#REF!</v>
      </c>
      <c r="B206" s="8">
        <v>13040102</v>
      </c>
      <c r="C206" s="8" t="s">
        <v>145</v>
      </c>
      <c r="D206" s="13">
        <v>0</v>
      </c>
      <c r="E206" s="15" t="s">
        <v>65</v>
      </c>
      <c r="F206" s="16" t="e">
        <f>IF(#REF!&gt;=2,IFERROR(D206*_xlfn.SINGLE(_xlfn.XLOOKUP(B206,MA_ARTICULOS!$A:$A,MA_ARTICULOS!$E:$E,0)),""),"")</f>
        <v>#REF!</v>
      </c>
    </row>
    <row r="207" spans="1:6" x14ac:dyDescent="0.3">
      <c r="A207" s="11" t="e">
        <f>IF(#REF!&gt;=2,#REF!,"")</f>
        <v>#REF!</v>
      </c>
      <c r="B207" s="8">
        <v>13040103</v>
      </c>
      <c r="C207" s="8" t="s">
        <v>146</v>
      </c>
      <c r="D207" s="13">
        <v>0</v>
      </c>
      <c r="E207" s="15" t="s">
        <v>65</v>
      </c>
      <c r="F207" s="16" t="e">
        <f>IF(#REF!&gt;=2,IFERROR(D207*_xlfn.SINGLE(_xlfn.XLOOKUP(B207,MA_ARTICULOS!$A:$A,MA_ARTICULOS!$E:$E,0)),""),"")</f>
        <v>#REF!</v>
      </c>
    </row>
    <row r="208" spans="1:6" x14ac:dyDescent="0.3">
      <c r="A208" s="11" t="e">
        <f>IF(#REF!&gt;=2,#REF!,"")</f>
        <v>#REF!</v>
      </c>
      <c r="B208" s="8">
        <v>13050001</v>
      </c>
      <c r="C208" s="8" t="s">
        <v>147</v>
      </c>
      <c r="D208" s="13">
        <v>0</v>
      </c>
      <c r="E208" s="15" t="s">
        <v>65</v>
      </c>
      <c r="F208" s="16" t="e">
        <f>IF(#REF!&gt;=2,IFERROR(D208*_xlfn.SINGLE(_xlfn.XLOOKUP(B208,MA_ARTICULOS!$A:$A,MA_ARTICULOS!$E:$E,0)),""),"")</f>
        <v>#REF!</v>
      </c>
    </row>
    <row r="209" spans="1:6" x14ac:dyDescent="0.3">
      <c r="A209" s="11" t="e">
        <f>IF(#REF!&gt;=2,#REF!,"")</f>
        <v>#REF!</v>
      </c>
      <c r="B209" s="8">
        <v>13050002</v>
      </c>
      <c r="C209" s="8" t="s">
        <v>148</v>
      </c>
      <c r="D209" s="13">
        <v>0</v>
      </c>
      <c r="E209" s="15" t="s">
        <v>65</v>
      </c>
      <c r="F209" s="16" t="e">
        <f>IF(#REF!&gt;=2,IFERROR(D209*_xlfn.SINGLE(_xlfn.XLOOKUP(B209,MA_ARTICULOS!$A:$A,MA_ARTICULOS!$E:$E,0)),""),"")</f>
        <v>#REF!</v>
      </c>
    </row>
    <row r="210" spans="1:6" x14ac:dyDescent="0.3">
      <c r="A210" s="11" t="e">
        <f>IF(#REF!&gt;=2,#REF!,"")</f>
        <v>#REF!</v>
      </c>
      <c r="B210" s="8">
        <v>13050003</v>
      </c>
      <c r="C210" s="8" t="s">
        <v>149</v>
      </c>
      <c r="D210" s="13">
        <v>0</v>
      </c>
      <c r="E210" s="15" t="s">
        <v>65</v>
      </c>
      <c r="F210" s="16" t="e">
        <f>IF(#REF!&gt;=2,IFERROR(D210*_xlfn.SINGLE(_xlfn.XLOOKUP(B210,MA_ARTICULOS!$A:$A,MA_ARTICULOS!$E:$E,0)),""),"")</f>
        <v>#REF!</v>
      </c>
    </row>
    <row r="211" spans="1:6" x14ac:dyDescent="0.3">
      <c r="A211" s="11" t="e">
        <f>IF(#REF!&gt;=2,#REF!,"")</f>
        <v>#REF!</v>
      </c>
      <c r="B211" s="8">
        <v>13050004</v>
      </c>
      <c r="C211" s="8" t="s">
        <v>150</v>
      </c>
      <c r="D211" s="13">
        <v>0</v>
      </c>
      <c r="E211" s="15" t="s">
        <v>65</v>
      </c>
      <c r="F211" s="16" t="e">
        <f>IF(#REF!&gt;=2,IFERROR(D211*_xlfn.SINGLE(_xlfn.XLOOKUP(B211,MA_ARTICULOS!$A:$A,MA_ARTICULOS!$E:$E,0)),""),"")</f>
        <v>#REF!</v>
      </c>
    </row>
    <row r="212" spans="1:6" x14ac:dyDescent="0.3">
      <c r="A212" s="11" t="e">
        <f>IF(#REF!&gt;=2,#REF!,"")</f>
        <v>#REF!</v>
      </c>
      <c r="B212" s="8">
        <v>13050005</v>
      </c>
      <c r="C212" s="8" t="s">
        <v>151</v>
      </c>
      <c r="D212" s="13">
        <v>0</v>
      </c>
      <c r="E212" s="15" t="s">
        <v>65</v>
      </c>
      <c r="F212" s="16" t="e">
        <f>IF(#REF!&gt;=2,IFERROR(D212*_xlfn.SINGLE(_xlfn.XLOOKUP(B212,MA_ARTICULOS!$A:$A,MA_ARTICULOS!$E:$E,0)),""),"")</f>
        <v>#REF!</v>
      </c>
    </row>
    <row r="213" spans="1:6" x14ac:dyDescent="0.3">
      <c r="A213" s="11" t="e">
        <f>IF(#REF!&gt;=2,#REF!,"")</f>
        <v>#REF!</v>
      </c>
      <c r="B213" s="8">
        <v>13050006</v>
      </c>
      <c r="C213" s="8" t="s">
        <v>152</v>
      </c>
      <c r="D213" s="13">
        <v>0</v>
      </c>
      <c r="E213" s="15" t="s">
        <v>65</v>
      </c>
      <c r="F213" s="16" t="e">
        <f>IF(#REF!&gt;=2,IFERROR(D213*_xlfn.SINGLE(_xlfn.XLOOKUP(B213,MA_ARTICULOS!$A:$A,MA_ARTICULOS!$E:$E,0)),""),"")</f>
        <v>#REF!</v>
      </c>
    </row>
    <row r="214" spans="1:6" x14ac:dyDescent="0.3">
      <c r="A214" s="11" t="e">
        <f>IF(#REF!&gt;=2,#REF!,"")</f>
        <v>#REF!</v>
      </c>
      <c r="B214" s="8">
        <v>13050007</v>
      </c>
      <c r="C214" s="8" t="s">
        <v>153</v>
      </c>
      <c r="D214" s="13">
        <v>0</v>
      </c>
      <c r="E214" s="15" t="s">
        <v>65</v>
      </c>
      <c r="F214" s="16" t="e">
        <f>IF(#REF!&gt;=2,IFERROR(D214*_xlfn.SINGLE(_xlfn.XLOOKUP(B214,MA_ARTICULOS!$A:$A,MA_ARTICULOS!$E:$E,0)),""),"")</f>
        <v>#REF!</v>
      </c>
    </row>
    <row r="215" spans="1:6" x14ac:dyDescent="0.3">
      <c r="A215" s="11" t="e">
        <f>IF(#REF!&gt;=2,#REF!,"")</f>
        <v>#REF!</v>
      </c>
      <c r="B215" s="8">
        <v>13050008</v>
      </c>
      <c r="C215" s="8" t="s">
        <v>154</v>
      </c>
      <c r="D215" s="13">
        <v>0</v>
      </c>
      <c r="E215" s="15" t="s">
        <v>65</v>
      </c>
      <c r="F215" s="16" t="e">
        <f>IF(#REF!&gt;=2,IFERROR(D215*_xlfn.SINGLE(_xlfn.XLOOKUP(B215,MA_ARTICULOS!$A:$A,MA_ARTICULOS!$E:$E,0)),""),"")</f>
        <v>#REF!</v>
      </c>
    </row>
    <row r="216" spans="1:6" x14ac:dyDescent="0.3">
      <c r="A216" s="11" t="e">
        <f>IF(#REF!&gt;=2,#REF!,"")</f>
        <v>#REF!</v>
      </c>
      <c r="B216" s="8">
        <v>13089001</v>
      </c>
      <c r="C216" s="8" t="s">
        <v>155</v>
      </c>
      <c r="D216" s="13">
        <v>0</v>
      </c>
      <c r="E216" s="15" t="s">
        <v>65</v>
      </c>
      <c r="F216" s="16" t="e">
        <f>IF(#REF!&gt;=2,IFERROR(D216*_xlfn.SINGLE(_xlfn.XLOOKUP(B216,MA_ARTICULOS!$A:$A,MA_ARTICULOS!$E:$E,0)),""),"")</f>
        <v>#REF!</v>
      </c>
    </row>
    <row r="217" spans="1:6" x14ac:dyDescent="0.3">
      <c r="A217" s="11" t="e">
        <f>IF(#REF!&gt;=2,#REF!,"")</f>
        <v>#REF!</v>
      </c>
      <c r="B217" s="8">
        <v>13089002</v>
      </c>
      <c r="C217" s="8" t="s">
        <v>156</v>
      </c>
      <c r="D217" s="13">
        <v>0</v>
      </c>
      <c r="E217" s="15" t="s">
        <v>65</v>
      </c>
      <c r="F217" s="16" t="e">
        <f>IF(#REF!&gt;=2,IFERROR(D217*_xlfn.SINGLE(_xlfn.XLOOKUP(B217,MA_ARTICULOS!$A:$A,MA_ARTICULOS!$E:$E,0)),""),"")</f>
        <v>#REF!</v>
      </c>
    </row>
    <row r="218" spans="1:6" x14ac:dyDescent="0.3">
      <c r="A218" s="11" t="e">
        <f>IF(#REF!&gt;=2,#REF!,"")</f>
        <v>#REF!</v>
      </c>
      <c r="B218" s="8">
        <v>13089003</v>
      </c>
      <c r="C218" s="8" t="s">
        <v>157</v>
      </c>
      <c r="D218" s="13">
        <v>0</v>
      </c>
      <c r="E218" s="15" t="s">
        <v>65</v>
      </c>
      <c r="F218" s="16" t="e">
        <f>IF(#REF!&gt;=2,IFERROR(D218*_xlfn.SINGLE(_xlfn.XLOOKUP(B218,MA_ARTICULOS!$A:$A,MA_ARTICULOS!$E:$E,0)),""),"")</f>
        <v>#REF!</v>
      </c>
    </row>
    <row r="219" spans="1:6" x14ac:dyDescent="0.3">
      <c r="A219" s="11" t="e">
        <f>IF(#REF!&gt;=2,#REF!,"")</f>
        <v>#REF!</v>
      </c>
      <c r="B219" s="8">
        <v>13089004</v>
      </c>
      <c r="C219" s="8" t="s">
        <v>158</v>
      </c>
      <c r="D219" s="13">
        <v>0</v>
      </c>
      <c r="E219" s="15" t="s">
        <v>65</v>
      </c>
      <c r="F219" s="16" t="e">
        <f>IF(#REF!&gt;=2,IFERROR(D219*_xlfn.SINGLE(_xlfn.XLOOKUP(B219,MA_ARTICULOS!$A:$A,MA_ARTICULOS!$E:$E,0)),""),"")</f>
        <v>#REF!</v>
      </c>
    </row>
    <row r="220" spans="1:6" x14ac:dyDescent="0.3">
      <c r="A220" s="11" t="e">
        <f>IF(#REF!&gt;=2,#REF!,"")</f>
        <v>#REF!</v>
      </c>
      <c r="B220" s="8">
        <v>13089005</v>
      </c>
      <c r="C220" s="8" t="s">
        <v>159</v>
      </c>
      <c r="D220" s="13">
        <v>0</v>
      </c>
      <c r="E220" s="15" t="s">
        <v>65</v>
      </c>
      <c r="F220" s="16" t="e">
        <f>IF(#REF!&gt;=2,IFERROR(D220*_xlfn.SINGLE(_xlfn.XLOOKUP(B220,MA_ARTICULOS!$A:$A,MA_ARTICULOS!$E:$E,0)),""),"")</f>
        <v>#REF!</v>
      </c>
    </row>
    <row r="221" spans="1:6" x14ac:dyDescent="0.3">
      <c r="A221" s="11" t="e">
        <f>IF(#REF!&gt;=2,#REF!,"")</f>
        <v>#REF!</v>
      </c>
      <c r="B221" s="8">
        <v>13089006</v>
      </c>
      <c r="C221" s="8" t="s">
        <v>160</v>
      </c>
      <c r="D221" s="13">
        <v>0</v>
      </c>
      <c r="E221" s="15" t="s">
        <v>65</v>
      </c>
      <c r="F221" s="16" t="e">
        <f>IF(#REF!&gt;=2,IFERROR(D221*_xlfn.SINGLE(_xlfn.XLOOKUP(B221,MA_ARTICULOS!$A:$A,MA_ARTICULOS!$E:$E,0)),""),"")</f>
        <v>#REF!</v>
      </c>
    </row>
    <row r="222" spans="1:6" x14ac:dyDescent="0.3">
      <c r="A222" s="11" t="e">
        <f>IF(#REF!&gt;=2,#REF!,"")</f>
        <v>#REF!</v>
      </c>
      <c r="B222" s="8">
        <v>13089007</v>
      </c>
      <c r="C222" s="8" t="s">
        <v>161</v>
      </c>
      <c r="D222" s="13">
        <v>0</v>
      </c>
      <c r="E222" s="15" t="s">
        <v>65</v>
      </c>
      <c r="F222" s="16" t="e">
        <f>IF(#REF!&gt;=2,IFERROR(D222*_xlfn.SINGLE(_xlfn.XLOOKUP(B222,MA_ARTICULOS!$A:$A,MA_ARTICULOS!$E:$E,0)),""),"")</f>
        <v>#REF!</v>
      </c>
    </row>
    <row r="223" spans="1:6" x14ac:dyDescent="0.3">
      <c r="A223" s="11" t="e">
        <f>IF(#REF!&gt;=2,#REF!,"")</f>
        <v>#REF!</v>
      </c>
      <c r="B223" s="8">
        <v>13090001</v>
      </c>
      <c r="C223" s="8" t="s">
        <v>162</v>
      </c>
      <c r="D223" s="13">
        <v>0</v>
      </c>
      <c r="E223" s="15" t="s">
        <v>65</v>
      </c>
      <c r="F223" s="16" t="e">
        <f>IF(#REF!&gt;=2,IFERROR(D223*_xlfn.SINGLE(_xlfn.XLOOKUP(B223,MA_ARTICULOS!$A:$A,MA_ARTICULOS!$E:$E,0)),""),"")</f>
        <v>#REF!</v>
      </c>
    </row>
    <row r="224" spans="1:6" x14ac:dyDescent="0.3">
      <c r="A224" s="11" t="e">
        <f>IF(#REF!&gt;=2,#REF!,"")</f>
        <v>#REF!</v>
      </c>
      <c r="B224" s="8">
        <v>13090002</v>
      </c>
      <c r="C224" s="8" t="s">
        <v>163</v>
      </c>
      <c r="D224" s="13">
        <v>0</v>
      </c>
      <c r="E224" s="15" t="s">
        <v>65</v>
      </c>
      <c r="F224" s="16" t="e">
        <f>IF(#REF!&gt;=2,IFERROR(D224*_xlfn.SINGLE(_xlfn.XLOOKUP(B224,MA_ARTICULOS!$A:$A,MA_ARTICULOS!$E:$E,0)),""),"")</f>
        <v>#REF!</v>
      </c>
    </row>
    <row r="225" spans="1:6" x14ac:dyDescent="0.3">
      <c r="A225" s="11" t="e">
        <f>IF(#REF!&gt;=2,#REF!,"")</f>
        <v>#REF!</v>
      </c>
      <c r="B225" s="8">
        <v>13099001</v>
      </c>
      <c r="C225" s="8" t="s">
        <v>164</v>
      </c>
      <c r="D225" s="13">
        <v>0</v>
      </c>
      <c r="E225" s="15" t="s">
        <v>65</v>
      </c>
      <c r="F225" s="16" t="e">
        <f>IF(#REF!&gt;=2,IFERROR(D225*_xlfn.SINGLE(_xlfn.XLOOKUP(B225,MA_ARTICULOS!$A:$A,MA_ARTICULOS!$E:$E,0)),""),"")</f>
        <v>#REF!</v>
      </c>
    </row>
    <row r="226" spans="1:6" x14ac:dyDescent="0.3">
      <c r="A226" s="11" t="e">
        <f>IF(#REF!&gt;=2,#REF!,"")</f>
        <v>#REF!</v>
      </c>
      <c r="B226" s="8">
        <v>13099002</v>
      </c>
      <c r="C226" s="8" t="s">
        <v>165</v>
      </c>
      <c r="D226" s="13">
        <v>0</v>
      </c>
      <c r="E226" s="15" t="s">
        <v>65</v>
      </c>
      <c r="F226" s="16" t="e">
        <f>IF(#REF!&gt;=2,IFERROR(D226*_xlfn.SINGLE(_xlfn.XLOOKUP(B226,MA_ARTICULOS!$A:$A,MA_ARTICULOS!$E:$E,0)),""),"")</f>
        <v>#REF!</v>
      </c>
    </row>
    <row r="227" spans="1:6" x14ac:dyDescent="0.3">
      <c r="A227" s="11" t="e">
        <f>IF(#REF!&gt;=2,#REF!,"")</f>
        <v>#REF!</v>
      </c>
      <c r="B227" s="8">
        <v>13110001</v>
      </c>
      <c r="C227" s="8" t="s">
        <v>166</v>
      </c>
      <c r="D227" s="13">
        <v>0</v>
      </c>
      <c r="E227" s="15" t="s">
        <v>65</v>
      </c>
      <c r="F227" s="16" t="e">
        <f>IF(#REF!&gt;=2,IFERROR(D227*_xlfn.SINGLE(_xlfn.XLOOKUP(B227,MA_ARTICULOS!$A:$A,MA_ARTICULOS!$E:$E,0)),""),"")</f>
        <v>#REF!</v>
      </c>
    </row>
    <row r="228" spans="1:6" x14ac:dyDescent="0.3">
      <c r="A228" s="11" t="e">
        <f>IF(#REF!&gt;=2,#REF!,"")</f>
        <v>#REF!</v>
      </c>
      <c r="B228" s="8">
        <v>13110002</v>
      </c>
      <c r="C228" s="8" t="s">
        <v>167</v>
      </c>
      <c r="D228" s="13">
        <v>0</v>
      </c>
      <c r="E228" s="15" t="s">
        <v>65</v>
      </c>
      <c r="F228" s="16" t="e">
        <f>IF(#REF!&gt;=2,IFERROR(D228*_xlfn.SINGLE(_xlfn.XLOOKUP(B228,MA_ARTICULOS!$A:$A,MA_ARTICULOS!$E:$E,0)),""),"")</f>
        <v>#REF!</v>
      </c>
    </row>
    <row r="229" spans="1:6" x14ac:dyDescent="0.3">
      <c r="A229" s="11" t="e">
        <f>IF(#REF!&gt;=2,#REF!,"")</f>
        <v>#REF!</v>
      </c>
      <c r="B229" s="8">
        <v>13110003</v>
      </c>
      <c r="C229" s="8" t="s">
        <v>168</v>
      </c>
      <c r="D229" s="13">
        <v>0</v>
      </c>
      <c r="E229" s="15" t="s">
        <v>65</v>
      </c>
      <c r="F229" s="16" t="e">
        <f>IF(#REF!&gt;=2,IFERROR(D229*_xlfn.SINGLE(_xlfn.XLOOKUP(B229,MA_ARTICULOS!$A:$A,MA_ARTICULOS!$E:$E,0)),""),"")</f>
        <v>#REF!</v>
      </c>
    </row>
    <row r="230" spans="1:6" x14ac:dyDescent="0.3">
      <c r="A230" s="11" t="e">
        <f>IF(#REF!&gt;=2,#REF!,"")</f>
        <v>#REF!</v>
      </c>
      <c r="B230" s="8">
        <v>13110004</v>
      </c>
      <c r="C230" s="8" t="s">
        <v>169</v>
      </c>
      <c r="D230" s="13">
        <v>0</v>
      </c>
      <c r="E230" s="15" t="s">
        <v>65</v>
      </c>
      <c r="F230" s="16" t="e">
        <f>IF(#REF!&gt;=2,IFERROR(D230*_xlfn.SINGLE(_xlfn.XLOOKUP(B230,MA_ARTICULOS!$A:$A,MA_ARTICULOS!$E:$E,0)),""),"")</f>
        <v>#REF!</v>
      </c>
    </row>
    <row r="231" spans="1:6" x14ac:dyDescent="0.3">
      <c r="A231" s="11" t="e">
        <f>IF(#REF!&gt;=2,#REF!,"")</f>
        <v>#REF!</v>
      </c>
      <c r="B231" s="8">
        <v>13130001</v>
      </c>
      <c r="C231" s="8" t="s">
        <v>170</v>
      </c>
      <c r="D231" s="13">
        <v>0</v>
      </c>
      <c r="E231" s="15" t="s">
        <v>65</v>
      </c>
      <c r="F231" s="16" t="e">
        <f>IF(#REF!&gt;=2,IFERROR(D231*_xlfn.SINGLE(_xlfn.XLOOKUP(B231,MA_ARTICULOS!$A:$A,MA_ARTICULOS!$E:$E,0)),""),"")</f>
        <v>#REF!</v>
      </c>
    </row>
    <row r="232" spans="1:6" x14ac:dyDescent="0.3">
      <c r="A232" s="11" t="e">
        <f>IF(#REF!&gt;=2,#REF!,"")</f>
        <v>#REF!</v>
      </c>
      <c r="B232" s="8">
        <v>13130002</v>
      </c>
      <c r="C232" s="8" t="s">
        <v>171</v>
      </c>
      <c r="D232" s="13">
        <v>0</v>
      </c>
      <c r="E232" s="15" t="s">
        <v>65</v>
      </c>
      <c r="F232" s="16" t="e">
        <f>IF(#REF!&gt;=2,IFERROR(D232*_xlfn.SINGLE(_xlfn.XLOOKUP(B232,MA_ARTICULOS!$A:$A,MA_ARTICULOS!$E:$E,0)),""),"")</f>
        <v>#REF!</v>
      </c>
    </row>
    <row r="233" spans="1:6" x14ac:dyDescent="0.3">
      <c r="A233" s="11" t="e">
        <f>IF(#REF!&gt;=2,#REF!,"")</f>
        <v>#REF!</v>
      </c>
      <c r="B233" s="8">
        <v>13130003</v>
      </c>
      <c r="C233" s="8" t="s">
        <v>172</v>
      </c>
      <c r="D233" s="13">
        <v>0</v>
      </c>
      <c r="E233" s="15" t="s">
        <v>65</v>
      </c>
      <c r="F233" s="16" t="e">
        <f>IF(#REF!&gt;=2,IFERROR(D233*_xlfn.SINGLE(_xlfn.XLOOKUP(B233,MA_ARTICULOS!$A:$A,MA_ARTICULOS!$E:$E,0)),""),"")</f>
        <v>#REF!</v>
      </c>
    </row>
    <row r="234" spans="1:6" x14ac:dyDescent="0.3">
      <c r="A234" s="11" t="e">
        <f>IF(#REF!&gt;=2,#REF!,"")</f>
        <v>#REF!</v>
      </c>
      <c r="B234" s="8">
        <v>23080001</v>
      </c>
      <c r="C234" s="8" t="s">
        <v>173</v>
      </c>
      <c r="D234" s="13">
        <v>0</v>
      </c>
      <c r="E234" s="15" t="s">
        <v>65</v>
      </c>
      <c r="F234" s="16" t="e">
        <f>IF(#REF!&gt;=2,IFERROR(D234*_xlfn.SINGLE(_xlfn.XLOOKUP(B234,MA_ARTICULOS!$A:$A,MA_ARTICULOS!$E:$E,0)),""),"")</f>
        <v>#REF!</v>
      </c>
    </row>
    <row r="235" spans="1:6" x14ac:dyDescent="0.3">
      <c r="A235" s="11" t="e">
        <f>IF(#REF!&gt;=2,#REF!,"")</f>
        <v>#REF!</v>
      </c>
      <c r="B235" s="8">
        <v>23080002</v>
      </c>
      <c r="C235" s="8" t="s">
        <v>174</v>
      </c>
      <c r="D235" s="13">
        <v>0</v>
      </c>
      <c r="E235" s="15" t="s">
        <v>65</v>
      </c>
      <c r="F235" s="16" t="e">
        <f>IF(#REF!&gt;=2,IFERROR(D235*_xlfn.SINGLE(_xlfn.XLOOKUP(B235,MA_ARTICULOS!$A:$A,MA_ARTICULOS!$E:$E,0)),""),"")</f>
        <v>#REF!</v>
      </c>
    </row>
    <row r="236" spans="1:6" x14ac:dyDescent="0.3">
      <c r="A236" s="11" t="e">
        <f>IF(#REF!&gt;=2,#REF!,"")</f>
        <v>#REF!</v>
      </c>
      <c r="B236" s="8">
        <v>23080003</v>
      </c>
      <c r="C236" s="8" t="s">
        <v>175</v>
      </c>
      <c r="D236" s="13">
        <v>0</v>
      </c>
      <c r="E236" s="15" t="s">
        <v>65</v>
      </c>
      <c r="F236" s="16" t="e">
        <f>IF(#REF!&gt;=2,IFERROR(D236*_xlfn.SINGLE(_xlfn.XLOOKUP(B236,MA_ARTICULOS!$A:$A,MA_ARTICULOS!$E:$E,0)),""),"")</f>
        <v>#REF!</v>
      </c>
    </row>
    <row r="237" spans="1:6" x14ac:dyDescent="0.3">
      <c r="A237" s="11" t="e">
        <f>IF(#REF!&gt;=2,#REF!,"")</f>
        <v>#REF!</v>
      </c>
      <c r="B237" s="8">
        <v>23080004</v>
      </c>
      <c r="C237" s="8" t="s">
        <v>176</v>
      </c>
      <c r="D237" s="13">
        <v>0</v>
      </c>
      <c r="E237" s="15" t="s">
        <v>65</v>
      </c>
      <c r="F237" s="16" t="e">
        <f>IF(#REF!&gt;=2,IFERROR(D237*_xlfn.SINGLE(_xlfn.XLOOKUP(B237,MA_ARTICULOS!$A:$A,MA_ARTICULOS!$E:$E,0)),""),"")</f>
        <v>#REF!</v>
      </c>
    </row>
    <row r="238" spans="1:6" x14ac:dyDescent="0.3">
      <c r="A238" s="11" t="e">
        <f>IF(#REF!&gt;=2,#REF!,"")</f>
        <v>#REF!</v>
      </c>
      <c r="B238" s="8">
        <v>23080005</v>
      </c>
      <c r="C238" s="8" t="s">
        <v>177</v>
      </c>
      <c r="D238" s="13">
        <v>0</v>
      </c>
      <c r="E238" s="15" t="s">
        <v>65</v>
      </c>
      <c r="F238" s="16" t="e">
        <f>IF(#REF!&gt;=2,IFERROR(D238*_xlfn.SINGLE(_xlfn.XLOOKUP(B238,MA_ARTICULOS!$A:$A,MA_ARTICULOS!$E:$E,0)),""),"")</f>
        <v>#REF!</v>
      </c>
    </row>
    <row r="239" spans="1:6" x14ac:dyDescent="0.3">
      <c r="A239" s="11" t="e">
        <f>IF(#REF!&gt;=2,#REF!,"")</f>
        <v>#REF!</v>
      </c>
      <c r="B239" s="8">
        <v>23080006</v>
      </c>
      <c r="C239" s="8" t="s">
        <v>178</v>
      </c>
      <c r="D239" s="13">
        <v>0</v>
      </c>
      <c r="E239" s="15" t="s">
        <v>65</v>
      </c>
      <c r="F239" s="16" t="e">
        <f>IF(#REF!&gt;=2,IFERROR(D239*_xlfn.SINGLE(_xlfn.XLOOKUP(B239,MA_ARTICULOS!$A:$A,MA_ARTICULOS!$E:$E,0)),""),"")</f>
        <v>#REF!</v>
      </c>
    </row>
    <row r="240" spans="1:6" x14ac:dyDescent="0.3">
      <c r="A240" s="11" t="e">
        <f>IF(#REF!&gt;=2,#REF!,"")</f>
        <v>#REF!</v>
      </c>
      <c r="B240" s="8">
        <v>23080007</v>
      </c>
      <c r="C240" s="8" t="s">
        <v>179</v>
      </c>
      <c r="D240" s="13">
        <v>0</v>
      </c>
      <c r="E240" s="15" t="s">
        <v>65</v>
      </c>
      <c r="F240" s="16" t="e">
        <f>IF(#REF!&gt;=2,IFERROR(D240*_xlfn.SINGLE(_xlfn.XLOOKUP(B240,MA_ARTICULOS!$A:$A,MA_ARTICULOS!$E:$E,0)),""),"")</f>
        <v>#REF!</v>
      </c>
    </row>
    <row r="241" spans="1:6" x14ac:dyDescent="0.3">
      <c r="A241" s="11" t="e">
        <f>IF(#REF!&gt;=2,#REF!,"")</f>
        <v>#REF!</v>
      </c>
      <c r="B241" s="8">
        <v>101</v>
      </c>
      <c r="C241" s="8" t="s">
        <v>180</v>
      </c>
      <c r="D241" s="13">
        <v>0</v>
      </c>
      <c r="E241" s="15" t="s">
        <v>65</v>
      </c>
      <c r="F241" s="16" t="e">
        <f>IF(#REF!&gt;=2,IFERROR(D241*_xlfn.SINGLE(_xlfn.XLOOKUP(B241,MA_ARTICULOS!$A:$A,MA_ARTICULOS!$E:$E,0)),""),"")</f>
        <v>#REF!</v>
      </c>
    </row>
    <row r="242" spans="1:6" x14ac:dyDescent="0.3">
      <c r="A242" s="11" t="e">
        <f>IF(#REF!&gt;=2,#REF!,"")</f>
        <v>#REF!</v>
      </c>
      <c r="B242" s="8">
        <v>102</v>
      </c>
      <c r="C242" s="8" t="s">
        <v>181</v>
      </c>
      <c r="D242" s="13">
        <v>0</v>
      </c>
      <c r="E242" s="15" t="s">
        <v>65</v>
      </c>
      <c r="F242" s="16" t="e">
        <f>IF(#REF!&gt;=2,IFERROR(D242*_xlfn.SINGLE(_xlfn.XLOOKUP(B242,MA_ARTICULOS!$A:$A,MA_ARTICULOS!$E:$E,0)),""),"")</f>
        <v>#REF!</v>
      </c>
    </row>
    <row r="243" spans="1:6" x14ac:dyDescent="0.3">
      <c r="A243" s="11" t="e">
        <f>IF(#REF!&gt;=2,#REF!,"")</f>
        <v>#REF!</v>
      </c>
      <c r="B243" s="8">
        <v>104</v>
      </c>
      <c r="C243" s="8" t="s">
        <v>182</v>
      </c>
      <c r="D243" s="13">
        <v>0</v>
      </c>
      <c r="E243" s="15" t="s">
        <v>65</v>
      </c>
      <c r="F243" s="16" t="e">
        <f>IF(#REF!&gt;=2,IFERROR(D243*_xlfn.SINGLE(_xlfn.XLOOKUP(B243,MA_ARTICULOS!$A:$A,MA_ARTICULOS!$E:$E,0)),""),"")</f>
        <v>#REF!</v>
      </c>
    </row>
    <row r="244" spans="1:6" x14ac:dyDescent="0.3">
      <c r="A244" s="11" t="e">
        <f>IF(#REF!&gt;=2,#REF!,"")</f>
        <v>#REF!</v>
      </c>
      <c r="B244" s="8">
        <v>105</v>
      </c>
      <c r="C244" s="8" t="s">
        <v>183</v>
      </c>
      <c r="D244" s="13">
        <v>0</v>
      </c>
      <c r="E244" s="15" t="s">
        <v>65</v>
      </c>
      <c r="F244" s="16" t="e">
        <f>IF(#REF!&gt;=2,IFERROR(D244*_xlfn.SINGLE(_xlfn.XLOOKUP(B244,MA_ARTICULOS!$A:$A,MA_ARTICULOS!$E:$E,0)),""),"")</f>
        <v>#REF!</v>
      </c>
    </row>
    <row r="245" spans="1:6" x14ac:dyDescent="0.3">
      <c r="A245" s="11" t="e">
        <f>IF(#REF!&gt;=2,#REF!,"")</f>
        <v>#REF!</v>
      </c>
      <c r="B245" s="8">
        <v>106</v>
      </c>
      <c r="C245" s="8" t="s">
        <v>184</v>
      </c>
      <c r="D245" s="13">
        <v>0</v>
      </c>
      <c r="E245" s="15" t="s">
        <v>65</v>
      </c>
      <c r="F245" s="16" t="e">
        <f>IF(#REF!&gt;=2,IFERROR(D245*_xlfn.SINGLE(_xlfn.XLOOKUP(B245,MA_ARTICULOS!$A:$A,MA_ARTICULOS!$E:$E,0)),""),"")</f>
        <v>#REF!</v>
      </c>
    </row>
    <row r="246" spans="1:6" x14ac:dyDescent="0.3">
      <c r="A246" s="11" t="e">
        <f>IF(#REF!&gt;=2,#REF!,"")</f>
        <v>#REF!</v>
      </c>
      <c r="B246" s="8">
        <v>120</v>
      </c>
      <c r="C246" s="8" t="s">
        <v>185</v>
      </c>
      <c r="D246" s="13">
        <v>0</v>
      </c>
      <c r="E246" s="15" t="s">
        <v>65</v>
      </c>
      <c r="F246" s="16" t="e">
        <f>IF(#REF!&gt;=2,IFERROR(D246*_xlfn.SINGLE(_xlfn.XLOOKUP(B246,MA_ARTICULOS!$A:$A,MA_ARTICULOS!$E:$E,0)),""),"")</f>
        <v>#REF!</v>
      </c>
    </row>
    <row r="247" spans="1:6" x14ac:dyDescent="0.3">
      <c r="A247" s="11" t="e">
        <f>IF(#REF!&gt;=2,#REF!,"")</f>
        <v>#REF!</v>
      </c>
      <c r="B247" s="8">
        <v>121</v>
      </c>
      <c r="C247" s="8" t="s">
        <v>186</v>
      </c>
      <c r="D247" s="13">
        <v>0</v>
      </c>
      <c r="E247" s="15" t="s">
        <v>65</v>
      </c>
      <c r="F247" s="16" t="e">
        <f>IF(#REF!&gt;=2,IFERROR(D247*_xlfn.SINGLE(_xlfn.XLOOKUP(B247,MA_ARTICULOS!$A:$A,MA_ARTICULOS!$E:$E,0)),""),"")</f>
        <v>#REF!</v>
      </c>
    </row>
    <row r="248" spans="1:6" x14ac:dyDescent="0.3">
      <c r="A248" s="18" t="s">
        <v>213</v>
      </c>
      <c r="B248" s="14"/>
      <c r="C248" s="14"/>
      <c r="D248" s="14"/>
      <c r="E248" s="14"/>
      <c r="F248" s="14"/>
    </row>
    <row r="249" spans="1:6" x14ac:dyDescent="0.3">
      <c r="A249" s="11" t="e">
        <f>IF(#REF!&gt;=3,#REF!,"")</f>
        <v>#REF!</v>
      </c>
      <c r="B249" s="8">
        <v>11010001</v>
      </c>
      <c r="C249" s="8" t="s">
        <v>64</v>
      </c>
      <c r="D249" s="13">
        <v>0</v>
      </c>
      <c r="E249" s="15" t="s">
        <v>65</v>
      </c>
      <c r="F249" s="16" t="e">
        <f>IF(#REF!&gt;=3,IFERROR(D249*_xlfn.SINGLE(_xlfn.XLOOKUP(B249,MA_ARTICULOS!$A:$A,MA_ARTICULOS!$E:$E,0)),""),"")</f>
        <v>#REF!</v>
      </c>
    </row>
    <row r="250" spans="1:6" x14ac:dyDescent="0.3">
      <c r="A250" s="11" t="e">
        <f>IF(#REF!&gt;=3,#REF!,"")</f>
        <v>#REF!</v>
      </c>
      <c r="B250" s="8">
        <v>11010002</v>
      </c>
      <c r="C250" s="8" t="s">
        <v>66</v>
      </c>
      <c r="D250" s="13">
        <v>0</v>
      </c>
      <c r="E250" s="15" t="s">
        <v>65</v>
      </c>
      <c r="F250" s="16" t="e">
        <f>IF(#REF!&gt;=3,IFERROR(D250*_xlfn.SINGLE(_xlfn.XLOOKUP(B250,MA_ARTICULOS!$A:$A,MA_ARTICULOS!$E:$E,0)),""),"")</f>
        <v>#REF!</v>
      </c>
    </row>
    <row r="251" spans="1:6" x14ac:dyDescent="0.3">
      <c r="A251" s="11" t="e">
        <f>IF(#REF!&gt;=3,#REF!,"")</f>
        <v>#REF!</v>
      </c>
      <c r="B251" s="8">
        <v>11010003</v>
      </c>
      <c r="C251" s="8" t="s">
        <v>67</v>
      </c>
      <c r="D251" s="13">
        <v>0</v>
      </c>
      <c r="E251" s="15" t="s">
        <v>65</v>
      </c>
      <c r="F251" s="16" t="e">
        <f>IF(#REF!&gt;=3,IFERROR(D251*_xlfn.SINGLE(_xlfn.XLOOKUP(B251,MA_ARTICULOS!$A:$A,MA_ARTICULOS!$E:$E,0)),""),"")</f>
        <v>#REF!</v>
      </c>
    </row>
    <row r="252" spans="1:6" x14ac:dyDescent="0.3">
      <c r="A252" s="11" t="e">
        <f>IF(#REF!&gt;=3,#REF!,"")</f>
        <v>#REF!</v>
      </c>
      <c r="B252" s="8">
        <v>11010004</v>
      </c>
      <c r="C252" s="8" t="s">
        <v>68</v>
      </c>
      <c r="D252" s="13">
        <v>0</v>
      </c>
      <c r="E252" s="15" t="s">
        <v>65</v>
      </c>
      <c r="F252" s="16" t="e">
        <f>IF(#REF!&gt;=3,IFERROR(D252*_xlfn.SINGLE(_xlfn.XLOOKUP(B252,MA_ARTICULOS!$A:$A,MA_ARTICULOS!$E:$E,0)),""),"")</f>
        <v>#REF!</v>
      </c>
    </row>
    <row r="253" spans="1:6" x14ac:dyDescent="0.3">
      <c r="A253" s="11" t="e">
        <f>IF(#REF!&gt;=3,#REF!,"")</f>
        <v>#REF!</v>
      </c>
      <c r="B253" s="8">
        <v>11010005</v>
      </c>
      <c r="C253" s="8" t="s">
        <v>69</v>
      </c>
      <c r="D253" s="13">
        <v>0</v>
      </c>
      <c r="E253" s="15" t="s">
        <v>65</v>
      </c>
      <c r="F253" s="16" t="e">
        <f>IF(#REF!&gt;=3,IFERROR(D253*_xlfn.SINGLE(_xlfn.XLOOKUP(B253,MA_ARTICULOS!$A:$A,MA_ARTICULOS!$E:$E,0)),""),"")</f>
        <v>#REF!</v>
      </c>
    </row>
    <row r="254" spans="1:6" x14ac:dyDescent="0.3">
      <c r="A254" s="11" t="e">
        <f>IF(#REF!&gt;=3,#REF!,"")</f>
        <v>#REF!</v>
      </c>
      <c r="B254" s="8">
        <v>11010007</v>
      </c>
      <c r="C254" s="8" t="s">
        <v>70</v>
      </c>
      <c r="D254" s="13">
        <v>0</v>
      </c>
      <c r="E254" s="15" t="s">
        <v>65</v>
      </c>
      <c r="F254" s="16" t="e">
        <f>IF(#REF!&gt;=3,IFERROR(D254*_xlfn.SINGLE(_xlfn.XLOOKUP(B254,MA_ARTICULOS!$A:$A,MA_ARTICULOS!$E:$E,0)),""),"")</f>
        <v>#REF!</v>
      </c>
    </row>
    <row r="255" spans="1:6" x14ac:dyDescent="0.3">
      <c r="A255" s="11" t="e">
        <f>IF(#REF!&gt;=3,#REF!,"")</f>
        <v>#REF!</v>
      </c>
      <c r="B255" s="8">
        <v>11010008</v>
      </c>
      <c r="C255" s="8" t="s">
        <v>71</v>
      </c>
      <c r="D255" s="13">
        <v>0</v>
      </c>
      <c r="E255" s="15" t="s">
        <v>65</v>
      </c>
      <c r="F255" s="16" t="e">
        <f>IF(#REF!&gt;=3,IFERROR(D255*_xlfn.SINGLE(_xlfn.XLOOKUP(B255,MA_ARTICULOS!$A:$A,MA_ARTICULOS!$E:$E,0)),""),"")</f>
        <v>#REF!</v>
      </c>
    </row>
    <row r="256" spans="1:6" x14ac:dyDescent="0.3">
      <c r="A256" s="11" t="e">
        <f>IF(#REF!&gt;=3,#REF!,"")</f>
        <v>#REF!</v>
      </c>
      <c r="B256" s="8">
        <v>11010009</v>
      </c>
      <c r="C256" s="8" t="s">
        <v>72</v>
      </c>
      <c r="D256" s="13">
        <v>0</v>
      </c>
      <c r="E256" s="15" t="s">
        <v>65</v>
      </c>
      <c r="F256" s="16" t="e">
        <f>IF(#REF!&gt;=3,IFERROR(D256*_xlfn.SINGLE(_xlfn.XLOOKUP(B256,MA_ARTICULOS!$A:$A,MA_ARTICULOS!$E:$E,0)),""),"")</f>
        <v>#REF!</v>
      </c>
    </row>
    <row r="257" spans="1:6" x14ac:dyDescent="0.3">
      <c r="A257" s="11" t="e">
        <f>IF(#REF!&gt;=3,#REF!,"")</f>
        <v>#REF!</v>
      </c>
      <c r="B257" s="8">
        <v>11010010</v>
      </c>
      <c r="C257" s="8" t="s">
        <v>73</v>
      </c>
      <c r="D257" s="13">
        <v>0</v>
      </c>
      <c r="E257" s="15" t="s">
        <v>65</v>
      </c>
      <c r="F257" s="16" t="e">
        <f>IF(#REF!&gt;=3,IFERROR(D257*_xlfn.SINGLE(_xlfn.XLOOKUP(B257,MA_ARTICULOS!$A:$A,MA_ARTICULOS!$E:$E,0)),""),"")</f>
        <v>#REF!</v>
      </c>
    </row>
    <row r="258" spans="1:6" x14ac:dyDescent="0.3">
      <c r="A258" s="11" t="e">
        <f>IF(#REF!&gt;=3,#REF!,"")</f>
        <v>#REF!</v>
      </c>
      <c r="B258" s="8">
        <v>11010011</v>
      </c>
      <c r="C258" s="8" t="s">
        <v>74</v>
      </c>
      <c r="D258" s="13">
        <v>0</v>
      </c>
      <c r="E258" s="15" t="s">
        <v>65</v>
      </c>
      <c r="F258" s="16" t="e">
        <f>IF(#REF!&gt;=3,IFERROR(D258*_xlfn.SINGLE(_xlfn.XLOOKUP(B258,MA_ARTICULOS!$A:$A,MA_ARTICULOS!$E:$E,0)),""),"")</f>
        <v>#REF!</v>
      </c>
    </row>
    <row r="259" spans="1:6" x14ac:dyDescent="0.3">
      <c r="A259" s="11" t="e">
        <f>IF(#REF!&gt;=3,#REF!,"")</f>
        <v>#REF!</v>
      </c>
      <c r="B259" s="8">
        <v>11010013</v>
      </c>
      <c r="C259" s="8" t="s">
        <v>75</v>
      </c>
      <c r="D259" s="13">
        <v>0</v>
      </c>
      <c r="E259" s="15" t="s">
        <v>65</v>
      </c>
      <c r="F259" s="16" t="e">
        <f>IF(#REF!&gt;=3,IFERROR(D259*_xlfn.SINGLE(_xlfn.XLOOKUP(B259,MA_ARTICULOS!$A:$A,MA_ARTICULOS!$E:$E,0)),""),"")</f>
        <v>#REF!</v>
      </c>
    </row>
    <row r="260" spans="1:6" x14ac:dyDescent="0.3">
      <c r="A260" s="11" t="e">
        <f>IF(#REF!&gt;=3,#REF!,"")</f>
        <v>#REF!</v>
      </c>
      <c r="B260" s="8">
        <v>11010014</v>
      </c>
      <c r="C260" s="8" t="s">
        <v>76</v>
      </c>
      <c r="D260" s="13">
        <v>0</v>
      </c>
      <c r="E260" s="15" t="s">
        <v>65</v>
      </c>
      <c r="F260" s="16" t="e">
        <f>IF(#REF!&gt;=3,IFERROR(D260*_xlfn.SINGLE(_xlfn.XLOOKUP(B260,MA_ARTICULOS!$A:$A,MA_ARTICULOS!$E:$E,0)),""),"")</f>
        <v>#REF!</v>
      </c>
    </row>
    <row r="261" spans="1:6" x14ac:dyDescent="0.3">
      <c r="A261" s="11" t="e">
        <f>IF(#REF!&gt;=3,#REF!,"")</f>
        <v>#REF!</v>
      </c>
      <c r="B261" s="8">
        <v>11010015</v>
      </c>
      <c r="C261" s="8" t="s">
        <v>77</v>
      </c>
      <c r="D261" s="13">
        <v>0</v>
      </c>
      <c r="E261" s="15" t="s">
        <v>65</v>
      </c>
      <c r="F261" s="16" t="e">
        <f>IF(#REF!&gt;=3,IFERROR(D261*_xlfn.SINGLE(_xlfn.XLOOKUP(B261,MA_ARTICULOS!$A:$A,MA_ARTICULOS!$E:$E,0)),""),"")</f>
        <v>#REF!</v>
      </c>
    </row>
    <row r="262" spans="1:6" x14ac:dyDescent="0.3">
      <c r="A262" s="11" t="e">
        <f>IF(#REF!&gt;=3,#REF!,"")</f>
        <v>#REF!</v>
      </c>
      <c r="B262" s="8">
        <v>11010018</v>
      </c>
      <c r="C262" s="8" t="s">
        <v>78</v>
      </c>
      <c r="D262" s="13">
        <v>0</v>
      </c>
      <c r="E262" s="15" t="s">
        <v>65</v>
      </c>
      <c r="F262" s="16" t="e">
        <f>IF(#REF!&gt;=3,IFERROR(D262*_xlfn.SINGLE(_xlfn.XLOOKUP(B262,MA_ARTICULOS!$A:$A,MA_ARTICULOS!$E:$E,0)),""),"")</f>
        <v>#REF!</v>
      </c>
    </row>
    <row r="263" spans="1:6" x14ac:dyDescent="0.3">
      <c r="A263" s="11" t="e">
        <f>IF(#REF!&gt;=3,#REF!,"")</f>
        <v>#REF!</v>
      </c>
      <c r="B263" s="8">
        <v>11010019</v>
      </c>
      <c r="C263" s="8" t="s">
        <v>79</v>
      </c>
      <c r="D263" s="13">
        <v>0</v>
      </c>
      <c r="E263" s="15" t="s">
        <v>65</v>
      </c>
      <c r="F263" s="16" t="e">
        <f>IF(#REF!&gt;=3,IFERROR(D263*_xlfn.SINGLE(_xlfn.XLOOKUP(B263,MA_ARTICULOS!$A:$A,MA_ARTICULOS!$E:$E,0)),""),"")</f>
        <v>#REF!</v>
      </c>
    </row>
    <row r="264" spans="1:6" x14ac:dyDescent="0.3">
      <c r="A264" s="11" t="e">
        <f>IF(#REF!&gt;=3,#REF!,"")</f>
        <v>#REF!</v>
      </c>
      <c r="B264" s="8">
        <v>11010020</v>
      </c>
      <c r="C264" s="8" t="s">
        <v>80</v>
      </c>
      <c r="D264" s="13">
        <v>0</v>
      </c>
      <c r="E264" s="15" t="s">
        <v>65</v>
      </c>
      <c r="F264" s="16" t="e">
        <f>IF(#REF!&gt;=3,IFERROR(D264*_xlfn.SINGLE(_xlfn.XLOOKUP(B264,MA_ARTICULOS!$A:$A,MA_ARTICULOS!$E:$E,0)),""),"")</f>
        <v>#REF!</v>
      </c>
    </row>
    <row r="265" spans="1:6" x14ac:dyDescent="0.3">
      <c r="A265" s="11" t="e">
        <f>IF(#REF!&gt;=3,#REF!,"")</f>
        <v>#REF!</v>
      </c>
      <c r="B265" s="8">
        <v>11010022</v>
      </c>
      <c r="C265" s="8" t="s">
        <v>81</v>
      </c>
      <c r="D265" s="13">
        <v>0</v>
      </c>
      <c r="E265" s="15" t="s">
        <v>65</v>
      </c>
      <c r="F265" s="16" t="e">
        <f>IF(#REF!&gt;=3,IFERROR(D265*_xlfn.SINGLE(_xlfn.XLOOKUP(B265,MA_ARTICULOS!$A:$A,MA_ARTICULOS!$E:$E,0)),""),"")</f>
        <v>#REF!</v>
      </c>
    </row>
    <row r="266" spans="1:6" x14ac:dyDescent="0.3">
      <c r="A266" s="11" t="e">
        <f>IF(#REF!&gt;=3,#REF!,"")</f>
        <v>#REF!</v>
      </c>
      <c r="B266" s="8">
        <v>11010023</v>
      </c>
      <c r="C266" s="8" t="s">
        <v>82</v>
      </c>
      <c r="D266" s="13">
        <v>0</v>
      </c>
      <c r="E266" s="15" t="s">
        <v>65</v>
      </c>
      <c r="F266" s="16" t="e">
        <f>IF(#REF!&gt;=3,IFERROR(D266*_xlfn.SINGLE(_xlfn.XLOOKUP(B266,MA_ARTICULOS!$A:$A,MA_ARTICULOS!$E:$E,0)),""),"")</f>
        <v>#REF!</v>
      </c>
    </row>
    <row r="267" spans="1:6" x14ac:dyDescent="0.3">
      <c r="A267" s="11" t="e">
        <f>IF(#REF!&gt;=3,#REF!,"")</f>
        <v>#REF!</v>
      </c>
      <c r="B267" s="8">
        <v>11010027</v>
      </c>
      <c r="C267" s="8" t="s">
        <v>83</v>
      </c>
      <c r="D267" s="13">
        <v>0</v>
      </c>
      <c r="E267" s="15" t="s">
        <v>65</v>
      </c>
      <c r="F267" s="16" t="e">
        <f>IF(#REF!&gt;=3,IFERROR(D267*_xlfn.SINGLE(_xlfn.XLOOKUP(B267,MA_ARTICULOS!$A:$A,MA_ARTICULOS!$E:$E,0)),""),"")</f>
        <v>#REF!</v>
      </c>
    </row>
    <row r="268" spans="1:6" x14ac:dyDescent="0.3">
      <c r="A268" s="11" t="e">
        <f>IF(#REF!&gt;=3,#REF!,"")</f>
        <v>#REF!</v>
      </c>
      <c r="B268" s="8">
        <v>11010201</v>
      </c>
      <c r="C268" s="8" t="s">
        <v>84</v>
      </c>
      <c r="D268" s="13">
        <v>0</v>
      </c>
      <c r="E268" s="15" t="s">
        <v>65</v>
      </c>
      <c r="F268" s="16" t="e">
        <f>IF(#REF!&gt;=3,IFERROR(D268*_xlfn.SINGLE(_xlfn.XLOOKUP(B268,MA_ARTICULOS!$A:$A,MA_ARTICULOS!$E:$E,0)),""),"")</f>
        <v>#REF!</v>
      </c>
    </row>
    <row r="269" spans="1:6" x14ac:dyDescent="0.3">
      <c r="A269" s="11" t="e">
        <f>IF(#REF!&gt;=3,#REF!,"")</f>
        <v>#REF!</v>
      </c>
      <c r="B269" s="8">
        <v>11010202</v>
      </c>
      <c r="C269" s="8" t="s">
        <v>85</v>
      </c>
      <c r="D269" s="13">
        <v>0</v>
      </c>
      <c r="E269" s="15" t="s">
        <v>65</v>
      </c>
      <c r="F269" s="16" t="e">
        <f>IF(#REF!&gt;=3,IFERROR(D269*_xlfn.SINGLE(_xlfn.XLOOKUP(B269,MA_ARTICULOS!$A:$A,MA_ARTICULOS!$E:$E,0)),""),"")</f>
        <v>#REF!</v>
      </c>
    </row>
    <row r="270" spans="1:6" x14ac:dyDescent="0.3">
      <c r="A270" s="11" t="e">
        <f>IF(#REF!&gt;=3,#REF!,"")</f>
        <v>#REF!</v>
      </c>
      <c r="B270" s="8">
        <v>11010203</v>
      </c>
      <c r="C270" s="8" t="s">
        <v>86</v>
      </c>
      <c r="D270" s="13">
        <v>0</v>
      </c>
      <c r="E270" s="15" t="s">
        <v>65</v>
      </c>
      <c r="F270" s="16" t="e">
        <f>IF(#REF!&gt;=3,IFERROR(D270*_xlfn.SINGLE(_xlfn.XLOOKUP(B270,MA_ARTICULOS!$A:$A,MA_ARTICULOS!$E:$E,0)),""),"")</f>
        <v>#REF!</v>
      </c>
    </row>
    <row r="271" spans="1:6" x14ac:dyDescent="0.3">
      <c r="A271" s="11" t="e">
        <f>IF(#REF!&gt;=3,#REF!,"")</f>
        <v>#REF!</v>
      </c>
      <c r="B271" s="8">
        <v>11010204</v>
      </c>
      <c r="C271" s="8" t="s">
        <v>87</v>
      </c>
      <c r="D271" s="13">
        <v>0</v>
      </c>
      <c r="E271" s="15" t="s">
        <v>65</v>
      </c>
      <c r="F271" s="16" t="e">
        <f>IF(#REF!&gt;=3,IFERROR(D271*_xlfn.SINGLE(_xlfn.XLOOKUP(B271,MA_ARTICULOS!$A:$A,MA_ARTICULOS!$E:$E,0)),""),"")</f>
        <v>#REF!</v>
      </c>
    </row>
    <row r="272" spans="1:6" x14ac:dyDescent="0.3">
      <c r="A272" s="11" t="e">
        <f>IF(#REF!&gt;=3,#REF!,"")</f>
        <v>#REF!</v>
      </c>
      <c r="B272" s="8">
        <v>11010301</v>
      </c>
      <c r="C272" s="8" t="s">
        <v>88</v>
      </c>
      <c r="D272" s="13">
        <v>0</v>
      </c>
      <c r="E272" s="15" t="s">
        <v>65</v>
      </c>
      <c r="F272" s="16" t="e">
        <f>IF(#REF!&gt;=3,IFERROR(D272*_xlfn.SINGLE(_xlfn.XLOOKUP(B272,MA_ARTICULOS!$A:$A,MA_ARTICULOS!$E:$E,0)),""),"")</f>
        <v>#REF!</v>
      </c>
    </row>
    <row r="273" spans="1:6" x14ac:dyDescent="0.3">
      <c r="A273" s="11" t="e">
        <f>IF(#REF!&gt;=3,#REF!,"")</f>
        <v>#REF!</v>
      </c>
      <c r="B273" s="8">
        <v>11010302</v>
      </c>
      <c r="C273" s="8" t="s">
        <v>89</v>
      </c>
      <c r="D273" s="13">
        <v>0</v>
      </c>
      <c r="E273" s="15" t="s">
        <v>65</v>
      </c>
      <c r="F273" s="16" t="e">
        <f>IF(#REF!&gt;=3,IFERROR(D273*_xlfn.SINGLE(_xlfn.XLOOKUP(B273,MA_ARTICULOS!$A:$A,MA_ARTICULOS!$E:$E,0)),""),"")</f>
        <v>#REF!</v>
      </c>
    </row>
    <row r="274" spans="1:6" x14ac:dyDescent="0.3">
      <c r="A274" s="11" t="e">
        <f>IF(#REF!&gt;=3,#REF!,"")</f>
        <v>#REF!</v>
      </c>
      <c r="B274" s="8">
        <v>11010303</v>
      </c>
      <c r="C274" s="8" t="s">
        <v>90</v>
      </c>
      <c r="D274" s="13">
        <v>0</v>
      </c>
      <c r="E274" s="15" t="s">
        <v>65</v>
      </c>
      <c r="F274" s="16" t="e">
        <f>IF(#REF!&gt;=3,IFERROR(D274*_xlfn.SINGLE(_xlfn.XLOOKUP(B274,MA_ARTICULOS!$A:$A,MA_ARTICULOS!$E:$E,0)),""),"")</f>
        <v>#REF!</v>
      </c>
    </row>
    <row r="275" spans="1:6" x14ac:dyDescent="0.3">
      <c r="A275" s="11" t="e">
        <f>IF(#REF!&gt;=3,#REF!,"")</f>
        <v>#REF!</v>
      </c>
      <c r="B275" s="8">
        <v>11010304</v>
      </c>
      <c r="C275" s="8" t="s">
        <v>91</v>
      </c>
      <c r="D275" s="13">
        <v>0</v>
      </c>
      <c r="E275" s="15" t="s">
        <v>65</v>
      </c>
      <c r="F275" s="16" t="e">
        <f>IF(#REF!&gt;=3,IFERROR(D275*_xlfn.SINGLE(_xlfn.XLOOKUP(B275,MA_ARTICULOS!$A:$A,MA_ARTICULOS!$E:$E,0)),""),"")</f>
        <v>#REF!</v>
      </c>
    </row>
    <row r="276" spans="1:6" x14ac:dyDescent="0.3">
      <c r="A276" s="11" t="e">
        <f>IF(#REF!&gt;=3,#REF!,"")</f>
        <v>#REF!</v>
      </c>
      <c r="B276" s="8">
        <v>11010305</v>
      </c>
      <c r="C276" s="8" t="s">
        <v>92</v>
      </c>
      <c r="D276" s="13">
        <v>0</v>
      </c>
      <c r="E276" s="15" t="s">
        <v>65</v>
      </c>
      <c r="F276" s="16" t="e">
        <f>IF(#REF!&gt;=3,IFERROR(D276*_xlfn.SINGLE(_xlfn.XLOOKUP(B276,MA_ARTICULOS!$A:$A,MA_ARTICULOS!$E:$E,0)),""),"")</f>
        <v>#REF!</v>
      </c>
    </row>
    <row r="277" spans="1:6" x14ac:dyDescent="0.3">
      <c r="A277" s="11" t="e">
        <f>IF(#REF!&gt;=3,#REF!,"")</f>
        <v>#REF!</v>
      </c>
      <c r="B277" s="8">
        <v>11010306</v>
      </c>
      <c r="C277" s="8" t="s">
        <v>93</v>
      </c>
      <c r="D277" s="13">
        <v>0</v>
      </c>
      <c r="E277" s="15" t="s">
        <v>65</v>
      </c>
      <c r="F277" s="16" t="e">
        <f>IF(#REF!&gt;=3,IFERROR(D277*_xlfn.SINGLE(_xlfn.XLOOKUP(B277,MA_ARTICULOS!$A:$A,MA_ARTICULOS!$E:$E,0)),""),"")</f>
        <v>#REF!</v>
      </c>
    </row>
    <row r="278" spans="1:6" x14ac:dyDescent="0.3">
      <c r="A278" s="11" t="e">
        <f>IF(#REF!&gt;=3,#REF!,"")</f>
        <v>#REF!</v>
      </c>
      <c r="B278" s="8">
        <v>11010307</v>
      </c>
      <c r="C278" s="8" t="s">
        <v>94</v>
      </c>
      <c r="D278" s="13">
        <v>0</v>
      </c>
      <c r="E278" s="15" t="s">
        <v>65</v>
      </c>
      <c r="F278" s="16" t="e">
        <f>IF(#REF!&gt;=3,IFERROR(D278*_xlfn.SINGLE(_xlfn.XLOOKUP(B278,MA_ARTICULOS!$A:$A,MA_ARTICULOS!$E:$E,0)),""),"")</f>
        <v>#REF!</v>
      </c>
    </row>
    <row r="279" spans="1:6" x14ac:dyDescent="0.3">
      <c r="A279" s="11" t="e">
        <f>IF(#REF!&gt;=3,#REF!,"")</f>
        <v>#REF!</v>
      </c>
      <c r="B279" s="8">
        <v>11010308</v>
      </c>
      <c r="C279" s="8" t="s">
        <v>95</v>
      </c>
      <c r="D279" s="13">
        <v>0</v>
      </c>
      <c r="E279" s="15" t="s">
        <v>65</v>
      </c>
      <c r="F279" s="16" t="e">
        <f>IF(#REF!&gt;=3,IFERROR(D279*_xlfn.SINGLE(_xlfn.XLOOKUP(B279,MA_ARTICULOS!$A:$A,MA_ARTICULOS!$E:$E,0)),""),"")</f>
        <v>#REF!</v>
      </c>
    </row>
    <row r="280" spans="1:6" x14ac:dyDescent="0.3">
      <c r="A280" s="11" t="e">
        <f>IF(#REF!&gt;=3,#REF!,"")</f>
        <v>#REF!</v>
      </c>
      <c r="B280" s="8">
        <v>11010309</v>
      </c>
      <c r="C280" s="8" t="s">
        <v>96</v>
      </c>
      <c r="D280" s="13">
        <v>0</v>
      </c>
      <c r="E280" s="15" t="s">
        <v>65</v>
      </c>
      <c r="F280" s="16" t="e">
        <f>IF(#REF!&gt;=3,IFERROR(D280*_xlfn.SINGLE(_xlfn.XLOOKUP(B280,MA_ARTICULOS!$A:$A,MA_ARTICULOS!$E:$E,0)),""),"")</f>
        <v>#REF!</v>
      </c>
    </row>
    <row r="281" spans="1:6" x14ac:dyDescent="0.3">
      <c r="A281" s="11" t="e">
        <f>IF(#REF!&gt;=3,#REF!,"")</f>
        <v>#REF!</v>
      </c>
      <c r="B281" s="8">
        <v>11020001</v>
      </c>
      <c r="C281" s="8" t="s">
        <v>97</v>
      </c>
      <c r="D281" s="13">
        <v>0</v>
      </c>
      <c r="E281" s="15" t="s">
        <v>65</v>
      </c>
      <c r="F281" s="16" t="e">
        <f>IF(#REF!&gt;=3,IFERROR(D281*_xlfn.SINGLE(_xlfn.XLOOKUP(B281,MA_ARTICULOS!$A:$A,MA_ARTICULOS!$E:$E,0)),""),"")</f>
        <v>#REF!</v>
      </c>
    </row>
    <row r="282" spans="1:6" x14ac:dyDescent="0.3">
      <c r="A282" s="11" t="e">
        <f>IF(#REF!&gt;=3,#REF!,"")</f>
        <v>#REF!</v>
      </c>
      <c r="B282" s="8">
        <v>11020002</v>
      </c>
      <c r="C282" s="8" t="s">
        <v>98</v>
      </c>
      <c r="D282" s="13">
        <v>0</v>
      </c>
      <c r="E282" s="15" t="s">
        <v>65</v>
      </c>
      <c r="F282" s="16" t="e">
        <f>IF(#REF!&gt;=3,IFERROR(D282*_xlfn.SINGLE(_xlfn.XLOOKUP(B282,MA_ARTICULOS!$A:$A,MA_ARTICULOS!$E:$E,0)),""),"")</f>
        <v>#REF!</v>
      </c>
    </row>
    <row r="283" spans="1:6" x14ac:dyDescent="0.3">
      <c r="A283" s="11" t="e">
        <f>IF(#REF!&gt;=3,#REF!,"")</f>
        <v>#REF!</v>
      </c>
      <c r="B283" s="8">
        <v>11020003</v>
      </c>
      <c r="C283" s="8" t="s">
        <v>99</v>
      </c>
      <c r="D283" s="13">
        <v>0</v>
      </c>
      <c r="E283" s="15" t="s">
        <v>65</v>
      </c>
      <c r="F283" s="16" t="e">
        <f>IF(#REF!&gt;=3,IFERROR(D283*_xlfn.SINGLE(_xlfn.XLOOKUP(B283,MA_ARTICULOS!$A:$A,MA_ARTICULOS!$E:$E,0)),""),"")</f>
        <v>#REF!</v>
      </c>
    </row>
    <row r="284" spans="1:6" x14ac:dyDescent="0.3">
      <c r="A284" s="11" t="e">
        <f>IF(#REF!&gt;=3,#REF!,"")</f>
        <v>#REF!</v>
      </c>
      <c r="B284" s="8">
        <v>11020004</v>
      </c>
      <c r="C284" s="8" t="s">
        <v>100</v>
      </c>
      <c r="D284" s="13">
        <v>0</v>
      </c>
      <c r="E284" s="15" t="s">
        <v>65</v>
      </c>
      <c r="F284" s="16" t="e">
        <f>IF(#REF!&gt;=3,IFERROR(D284*_xlfn.SINGLE(_xlfn.XLOOKUP(B284,MA_ARTICULOS!$A:$A,MA_ARTICULOS!$E:$E,0)),""),"")</f>
        <v>#REF!</v>
      </c>
    </row>
    <row r="285" spans="1:6" x14ac:dyDescent="0.3">
      <c r="A285" s="11" t="e">
        <f>IF(#REF!&gt;=3,#REF!,"")</f>
        <v>#REF!</v>
      </c>
      <c r="B285" s="8">
        <v>11020005</v>
      </c>
      <c r="C285" s="8" t="s">
        <v>101</v>
      </c>
      <c r="D285" s="13">
        <v>0</v>
      </c>
      <c r="E285" s="15" t="s">
        <v>65</v>
      </c>
      <c r="F285" s="16" t="e">
        <f>IF(#REF!&gt;=3,IFERROR(D285*_xlfn.SINGLE(_xlfn.XLOOKUP(B285,MA_ARTICULOS!$A:$A,MA_ARTICULOS!$E:$E,0)),""),"")</f>
        <v>#REF!</v>
      </c>
    </row>
    <row r="286" spans="1:6" x14ac:dyDescent="0.3">
      <c r="A286" s="11" t="e">
        <f>IF(#REF!&gt;=3,#REF!,"")</f>
        <v>#REF!</v>
      </c>
      <c r="B286" s="8">
        <v>11020006</v>
      </c>
      <c r="C286" s="8" t="s">
        <v>102</v>
      </c>
      <c r="D286" s="13">
        <v>0</v>
      </c>
      <c r="E286" s="15" t="s">
        <v>65</v>
      </c>
      <c r="F286" s="16" t="e">
        <f>IF(#REF!&gt;=3,IFERROR(D286*_xlfn.SINGLE(_xlfn.XLOOKUP(B286,MA_ARTICULOS!$A:$A,MA_ARTICULOS!$E:$E,0)),""),"")</f>
        <v>#REF!</v>
      </c>
    </row>
    <row r="287" spans="1:6" x14ac:dyDescent="0.3">
      <c r="A287" s="11" t="e">
        <f>IF(#REF!&gt;=3,#REF!,"")</f>
        <v>#REF!</v>
      </c>
      <c r="B287" s="8">
        <v>11020007</v>
      </c>
      <c r="C287" s="8" t="s">
        <v>103</v>
      </c>
      <c r="D287" s="13">
        <v>0</v>
      </c>
      <c r="E287" s="15" t="s">
        <v>65</v>
      </c>
      <c r="F287" s="16" t="e">
        <f>IF(#REF!&gt;=3,IFERROR(D287*_xlfn.SINGLE(_xlfn.XLOOKUP(B287,MA_ARTICULOS!$A:$A,MA_ARTICULOS!$E:$E,0)),""),"")</f>
        <v>#REF!</v>
      </c>
    </row>
    <row r="288" spans="1:6" x14ac:dyDescent="0.3">
      <c r="A288" s="11" t="e">
        <f>IF(#REF!&gt;=3,#REF!,"")</f>
        <v>#REF!</v>
      </c>
      <c r="B288" s="8">
        <v>11020008</v>
      </c>
      <c r="C288" s="8" t="s">
        <v>104</v>
      </c>
      <c r="D288" s="13">
        <v>0</v>
      </c>
      <c r="E288" s="15" t="s">
        <v>65</v>
      </c>
      <c r="F288" s="16" t="e">
        <f>IF(#REF!&gt;=3,IFERROR(D288*_xlfn.SINGLE(_xlfn.XLOOKUP(B288,MA_ARTICULOS!$A:$A,MA_ARTICULOS!$E:$E,0)),""),"")</f>
        <v>#REF!</v>
      </c>
    </row>
    <row r="289" spans="1:6" x14ac:dyDescent="0.3">
      <c r="A289" s="11" t="e">
        <f>IF(#REF!&gt;=3,#REF!,"")</f>
        <v>#REF!</v>
      </c>
      <c r="B289" s="8">
        <v>11020009</v>
      </c>
      <c r="C289" s="8" t="s">
        <v>105</v>
      </c>
      <c r="D289" s="13">
        <v>0</v>
      </c>
      <c r="E289" s="15" t="s">
        <v>65</v>
      </c>
      <c r="F289" s="16" t="e">
        <f>IF(#REF!&gt;=3,IFERROR(D289*_xlfn.SINGLE(_xlfn.XLOOKUP(B289,MA_ARTICULOS!$A:$A,MA_ARTICULOS!$E:$E,0)),""),"")</f>
        <v>#REF!</v>
      </c>
    </row>
    <row r="290" spans="1:6" x14ac:dyDescent="0.3">
      <c r="A290" s="11" t="e">
        <f>IF(#REF!&gt;=3,#REF!,"")</f>
        <v>#REF!</v>
      </c>
      <c r="B290" s="8">
        <v>11020010</v>
      </c>
      <c r="C290" s="8" t="s">
        <v>106</v>
      </c>
      <c r="D290" s="13">
        <v>0</v>
      </c>
      <c r="E290" s="15" t="s">
        <v>65</v>
      </c>
      <c r="F290" s="16" t="e">
        <f>IF(#REF!&gt;=3,IFERROR(D290*_xlfn.SINGLE(_xlfn.XLOOKUP(B290,MA_ARTICULOS!$A:$A,MA_ARTICULOS!$E:$E,0)),""),"")</f>
        <v>#REF!</v>
      </c>
    </row>
    <row r="291" spans="1:6" x14ac:dyDescent="0.3">
      <c r="A291" s="11" t="e">
        <f>IF(#REF!&gt;=3,#REF!,"")</f>
        <v>#REF!</v>
      </c>
      <c r="B291" s="8">
        <v>11020014</v>
      </c>
      <c r="C291" s="8" t="s">
        <v>107</v>
      </c>
      <c r="D291" s="13">
        <v>0</v>
      </c>
      <c r="E291" s="15" t="s">
        <v>65</v>
      </c>
      <c r="F291" s="16" t="e">
        <f>IF(#REF!&gt;=3,IFERROR(D291*_xlfn.SINGLE(_xlfn.XLOOKUP(B291,MA_ARTICULOS!$A:$A,MA_ARTICULOS!$E:$E,0)),""),"")</f>
        <v>#REF!</v>
      </c>
    </row>
    <row r="292" spans="1:6" x14ac:dyDescent="0.3">
      <c r="A292" s="11" t="e">
        <f>IF(#REF!&gt;=3,#REF!,"")</f>
        <v>#REF!</v>
      </c>
      <c r="B292" s="8">
        <v>11020015</v>
      </c>
      <c r="C292" s="8" t="s">
        <v>108</v>
      </c>
      <c r="D292" s="13">
        <v>0</v>
      </c>
      <c r="E292" s="15" t="s">
        <v>65</v>
      </c>
      <c r="F292" s="16" t="e">
        <f>IF(#REF!&gt;=3,IFERROR(D292*_xlfn.SINGLE(_xlfn.XLOOKUP(B292,MA_ARTICULOS!$A:$A,MA_ARTICULOS!$E:$E,0)),""),"")</f>
        <v>#REF!</v>
      </c>
    </row>
    <row r="293" spans="1:6" x14ac:dyDescent="0.3">
      <c r="A293" s="11" t="e">
        <f>IF(#REF!&gt;=3,#REF!,"")</f>
        <v>#REF!</v>
      </c>
      <c r="B293" s="8">
        <v>11020016</v>
      </c>
      <c r="C293" s="8" t="s">
        <v>109</v>
      </c>
      <c r="D293" s="13">
        <v>0</v>
      </c>
      <c r="E293" s="15" t="s">
        <v>65</v>
      </c>
      <c r="F293" s="16" t="e">
        <f>IF(#REF!&gt;=3,IFERROR(D293*_xlfn.SINGLE(_xlfn.XLOOKUP(B293,MA_ARTICULOS!$A:$A,MA_ARTICULOS!$E:$E,0)),""),"")</f>
        <v>#REF!</v>
      </c>
    </row>
    <row r="294" spans="1:6" x14ac:dyDescent="0.3">
      <c r="A294" s="11" t="e">
        <f>IF(#REF!&gt;=3,#REF!,"")</f>
        <v>#REF!</v>
      </c>
      <c r="B294" s="8">
        <v>12040001</v>
      </c>
      <c r="C294" s="8" t="s">
        <v>110</v>
      </c>
      <c r="D294" s="13">
        <v>0</v>
      </c>
      <c r="E294" s="15" t="s">
        <v>65</v>
      </c>
      <c r="F294" s="16" t="e">
        <f>IF(#REF!&gt;=3,IFERROR(D294*_xlfn.SINGLE(_xlfn.XLOOKUP(B294,MA_ARTICULOS!$A:$A,MA_ARTICULOS!$E:$E,0)),""),"")</f>
        <v>#REF!</v>
      </c>
    </row>
    <row r="295" spans="1:6" x14ac:dyDescent="0.3">
      <c r="A295" s="11" t="e">
        <f>IF(#REF!&gt;=3,#REF!,"")</f>
        <v>#REF!</v>
      </c>
      <c r="B295" s="8">
        <v>12040002</v>
      </c>
      <c r="C295" s="8" t="s">
        <v>111</v>
      </c>
      <c r="D295" s="13">
        <v>0</v>
      </c>
      <c r="E295" s="15" t="s">
        <v>65</v>
      </c>
      <c r="F295" s="16" t="e">
        <f>IF(#REF!&gt;=3,IFERROR(D295*_xlfn.SINGLE(_xlfn.XLOOKUP(B295,MA_ARTICULOS!$A:$A,MA_ARTICULOS!$E:$E,0)),""),"")</f>
        <v>#REF!</v>
      </c>
    </row>
    <row r="296" spans="1:6" x14ac:dyDescent="0.3">
      <c r="A296" s="11" t="e">
        <f>IF(#REF!&gt;=3,#REF!,"")</f>
        <v>#REF!</v>
      </c>
      <c r="B296" s="8">
        <v>12080001</v>
      </c>
      <c r="C296" s="8" t="s">
        <v>112</v>
      </c>
      <c r="D296" s="13">
        <v>0</v>
      </c>
      <c r="E296" s="15" t="s">
        <v>65</v>
      </c>
      <c r="F296" s="16" t="e">
        <f>IF(#REF!&gt;=3,IFERROR(D296*_xlfn.SINGLE(_xlfn.XLOOKUP(B296,MA_ARTICULOS!$A:$A,MA_ARTICULOS!$E:$E,0)),""),"")</f>
        <v>#REF!</v>
      </c>
    </row>
    <row r="297" spans="1:6" x14ac:dyDescent="0.3">
      <c r="A297" s="11" t="e">
        <f>IF(#REF!&gt;=3,#REF!,"")</f>
        <v>#REF!</v>
      </c>
      <c r="B297" s="8">
        <v>12080002</v>
      </c>
      <c r="C297" s="8" t="s">
        <v>113</v>
      </c>
      <c r="D297" s="13">
        <v>0</v>
      </c>
      <c r="E297" s="15" t="s">
        <v>65</v>
      </c>
      <c r="F297" s="16" t="e">
        <f>IF(#REF!&gt;=3,IFERROR(D297*_xlfn.SINGLE(_xlfn.XLOOKUP(B297,MA_ARTICULOS!$A:$A,MA_ARTICULOS!$E:$E,0)),""),"")</f>
        <v>#REF!</v>
      </c>
    </row>
    <row r="298" spans="1:6" x14ac:dyDescent="0.3">
      <c r="A298" s="11" t="e">
        <f>IF(#REF!&gt;=3,#REF!,"")</f>
        <v>#REF!</v>
      </c>
      <c r="B298" s="8">
        <v>12080003</v>
      </c>
      <c r="C298" s="8" t="s">
        <v>114</v>
      </c>
      <c r="D298" s="13">
        <v>0</v>
      </c>
      <c r="E298" s="15" t="s">
        <v>65</v>
      </c>
      <c r="F298" s="16" t="e">
        <f>IF(#REF!&gt;=3,IFERROR(D298*_xlfn.SINGLE(_xlfn.XLOOKUP(B298,MA_ARTICULOS!$A:$A,MA_ARTICULOS!$E:$E,0)),""),"")</f>
        <v>#REF!</v>
      </c>
    </row>
    <row r="299" spans="1:6" x14ac:dyDescent="0.3">
      <c r="A299" s="11" t="e">
        <f>IF(#REF!&gt;=3,#REF!,"")</f>
        <v>#REF!</v>
      </c>
      <c r="B299" s="8">
        <v>13010007</v>
      </c>
      <c r="C299" s="8" t="s">
        <v>115</v>
      </c>
      <c r="D299" s="13">
        <v>0</v>
      </c>
      <c r="E299" s="15" t="s">
        <v>65</v>
      </c>
      <c r="F299" s="16" t="e">
        <f>IF(#REF!&gt;=3,IFERROR(D299*_xlfn.SINGLE(_xlfn.XLOOKUP(B299,MA_ARTICULOS!$A:$A,MA_ARTICULOS!$E:$E,0)),""),"")</f>
        <v>#REF!</v>
      </c>
    </row>
    <row r="300" spans="1:6" x14ac:dyDescent="0.3">
      <c r="A300" s="11" t="e">
        <f>IF(#REF!&gt;=3,#REF!,"")</f>
        <v>#REF!</v>
      </c>
      <c r="B300" s="8">
        <v>13010008</v>
      </c>
      <c r="C300" s="8" t="s">
        <v>116</v>
      </c>
      <c r="D300" s="13">
        <v>0</v>
      </c>
      <c r="E300" s="15" t="s">
        <v>65</v>
      </c>
      <c r="F300" s="16" t="e">
        <f>IF(#REF!&gt;=3,IFERROR(D300*_xlfn.SINGLE(_xlfn.XLOOKUP(B300,MA_ARTICULOS!$A:$A,MA_ARTICULOS!$E:$E,0)),""),"")</f>
        <v>#REF!</v>
      </c>
    </row>
    <row r="301" spans="1:6" x14ac:dyDescent="0.3">
      <c r="A301" s="11" t="e">
        <f>IF(#REF!&gt;=3,#REF!,"")</f>
        <v>#REF!</v>
      </c>
      <c r="B301" s="8">
        <v>13019001</v>
      </c>
      <c r="C301" s="8" t="s">
        <v>117</v>
      </c>
      <c r="D301" s="13">
        <v>0</v>
      </c>
      <c r="E301" s="15" t="s">
        <v>65</v>
      </c>
      <c r="F301" s="16" t="e">
        <f>IF(#REF!&gt;=3,IFERROR(D301*_xlfn.SINGLE(_xlfn.XLOOKUP(B301,MA_ARTICULOS!$A:$A,MA_ARTICULOS!$E:$E,0)),""),"")</f>
        <v>#REF!</v>
      </c>
    </row>
    <row r="302" spans="1:6" x14ac:dyDescent="0.3">
      <c r="A302" s="11" t="e">
        <f>IF(#REF!&gt;=3,#REF!,"")</f>
        <v>#REF!</v>
      </c>
      <c r="B302" s="8">
        <v>13019002</v>
      </c>
      <c r="C302" s="8" t="s">
        <v>118</v>
      </c>
      <c r="D302" s="13">
        <v>0</v>
      </c>
      <c r="E302" s="15" t="s">
        <v>65</v>
      </c>
      <c r="F302" s="16" t="e">
        <f>IF(#REF!&gt;=3,IFERROR(D302*_xlfn.SINGLE(_xlfn.XLOOKUP(B302,MA_ARTICULOS!$A:$A,MA_ARTICULOS!$E:$E,0)),""),"")</f>
        <v>#REF!</v>
      </c>
    </row>
    <row r="303" spans="1:6" x14ac:dyDescent="0.3">
      <c r="A303" s="11" t="e">
        <f>IF(#REF!&gt;=3,#REF!,"")</f>
        <v>#REF!</v>
      </c>
      <c r="B303" s="8">
        <v>13019003</v>
      </c>
      <c r="C303" s="8" t="s">
        <v>119</v>
      </c>
      <c r="D303" s="13">
        <v>0</v>
      </c>
      <c r="E303" s="15" t="s">
        <v>65</v>
      </c>
      <c r="F303" s="16" t="e">
        <f>IF(#REF!&gt;=3,IFERROR(D303*_xlfn.SINGLE(_xlfn.XLOOKUP(B303,MA_ARTICULOS!$A:$A,MA_ARTICULOS!$E:$E,0)),""),"")</f>
        <v>#REF!</v>
      </c>
    </row>
    <row r="304" spans="1:6" x14ac:dyDescent="0.3">
      <c r="A304" s="11" t="e">
        <f>IF(#REF!&gt;=3,#REF!,"")</f>
        <v>#REF!</v>
      </c>
      <c r="B304" s="8">
        <v>13019004</v>
      </c>
      <c r="C304" s="8" t="s">
        <v>120</v>
      </c>
      <c r="D304" s="13">
        <v>0</v>
      </c>
      <c r="E304" s="15" t="s">
        <v>65</v>
      </c>
      <c r="F304" s="16" t="e">
        <f>IF(#REF!&gt;=3,IFERROR(D304*_xlfn.SINGLE(_xlfn.XLOOKUP(B304,MA_ARTICULOS!$A:$A,MA_ARTICULOS!$E:$E,0)),""),"")</f>
        <v>#REF!</v>
      </c>
    </row>
    <row r="305" spans="1:6" x14ac:dyDescent="0.3">
      <c r="A305" s="11" t="e">
        <f>IF(#REF!&gt;=3,#REF!,"")</f>
        <v>#REF!</v>
      </c>
      <c r="B305" s="8">
        <v>13019005</v>
      </c>
      <c r="C305" s="8" t="s">
        <v>121</v>
      </c>
      <c r="D305" s="13">
        <v>0</v>
      </c>
      <c r="E305" s="15" t="s">
        <v>65</v>
      </c>
      <c r="F305" s="16" t="e">
        <f>IF(#REF!&gt;=3,IFERROR(D305*_xlfn.SINGLE(_xlfn.XLOOKUP(B305,MA_ARTICULOS!$A:$A,MA_ARTICULOS!$E:$E,0)),""),"")</f>
        <v>#REF!</v>
      </c>
    </row>
    <row r="306" spans="1:6" x14ac:dyDescent="0.3">
      <c r="A306" s="11" t="e">
        <f>IF(#REF!&gt;=3,#REF!,"")</f>
        <v>#REF!</v>
      </c>
      <c r="B306" s="8">
        <v>13019007</v>
      </c>
      <c r="C306" s="8" t="s">
        <v>122</v>
      </c>
      <c r="D306" s="13">
        <v>0</v>
      </c>
      <c r="E306" s="15" t="s">
        <v>65</v>
      </c>
      <c r="F306" s="16" t="e">
        <f>IF(#REF!&gt;=3,IFERROR(D306*_xlfn.SINGLE(_xlfn.XLOOKUP(B306,MA_ARTICULOS!$A:$A,MA_ARTICULOS!$E:$E,0)),""),"")</f>
        <v>#REF!</v>
      </c>
    </row>
    <row r="307" spans="1:6" x14ac:dyDescent="0.3">
      <c r="A307" s="11" t="e">
        <f>IF(#REF!&gt;=3,#REF!,"")</f>
        <v>#REF!</v>
      </c>
      <c r="B307" s="8">
        <v>13019008</v>
      </c>
      <c r="C307" s="8" t="s">
        <v>123</v>
      </c>
      <c r="D307" s="13">
        <v>0</v>
      </c>
      <c r="E307" s="15" t="s">
        <v>65</v>
      </c>
      <c r="F307" s="16" t="e">
        <f>IF(#REF!&gt;=3,IFERROR(D307*_xlfn.SINGLE(_xlfn.XLOOKUP(B307,MA_ARTICULOS!$A:$A,MA_ARTICULOS!$E:$E,0)),""),"")</f>
        <v>#REF!</v>
      </c>
    </row>
    <row r="308" spans="1:6" x14ac:dyDescent="0.3">
      <c r="A308" s="11" t="e">
        <f>IF(#REF!&gt;=3,#REF!,"")</f>
        <v>#REF!</v>
      </c>
      <c r="B308" s="8">
        <v>13020004</v>
      </c>
      <c r="C308" s="8" t="s">
        <v>124</v>
      </c>
      <c r="D308" s="13">
        <v>0</v>
      </c>
      <c r="E308" s="15" t="s">
        <v>65</v>
      </c>
      <c r="F308" s="16" t="e">
        <f>IF(#REF!&gt;=3,IFERROR(D308*_xlfn.SINGLE(_xlfn.XLOOKUP(B308,MA_ARTICULOS!$A:$A,MA_ARTICULOS!$E:$E,0)),""),"")</f>
        <v>#REF!</v>
      </c>
    </row>
    <row r="309" spans="1:6" x14ac:dyDescent="0.3">
      <c r="A309" s="11" t="e">
        <f>IF(#REF!&gt;=3,#REF!,"")</f>
        <v>#REF!</v>
      </c>
      <c r="B309" s="8">
        <v>13020005</v>
      </c>
      <c r="C309" s="8" t="s">
        <v>125</v>
      </c>
      <c r="D309" s="13">
        <v>0</v>
      </c>
      <c r="E309" s="15" t="s">
        <v>65</v>
      </c>
      <c r="F309" s="16" t="e">
        <f>IF(#REF!&gt;=3,IFERROR(D309*_xlfn.SINGLE(_xlfn.XLOOKUP(B309,MA_ARTICULOS!$A:$A,MA_ARTICULOS!$E:$E,0)),""),"")</f>
        <v>#REF!</v>
      </c>
    </row>
    <row r="310" spans="1:6" x14ac:dyDescent="0.3">
      <c r="A310" s="11" t="e">
        <f>IF(#REF!&gt;=3,#REF!,"")</f>
        <v>#REF!</v>
      </c>
      <c r="B310" s="8">
        <v>13040001</v>
      </c>
      <c r="C310" s="8" t="s">
        <v>126</v>
      </c>
      <c r="D310" s="13">
        <v>0</v>
      </c>
      <c r="E310" s="15" t="s">
        <v>65</v>
      </c>
      <c r="F310" s="16" t="e">
        <f>IF(#REF!&gt;=3,IFERROR(D310*_xlfn.SINGLE(_xlfn.XLOOKUP(B310,MA_ARTICULOS!$A:$A,MA_ARTICULOS!$E:$E,0)),""),"")</f>
        <v>#REF!</v>
      </c>
    </row>
    <row r="311" spans="1:6" x14ac:dyDescent="0.3">
      <c r="A311" s="11" t="e">
        <f>IF(#REF!&gt;=3,#REF!,"")</f>
        <v>#REF!</v>
      </c>
      <c r="B311" s="8">
        <v>13040002</v>
      </c>
      <c r="C311" s="8" t="s">
        <v>127</v>
      </c>
      <c r="D311" s="13">
        <v>0</v>
      </c>
      <c r="E311" s="15" t="s">
        <v>65</v>
      </c>
      <c r="F311" s="16" t="e">
        <f>IF(#REF!&gt;=3,IFERROR(D311*_xlfn.SINGLE(_xlfn.XLOOKUP(B311,MA_ARTICULOS!$A:$A,MA_ARTICULOS!$E:$E,0)),""),"")</f>
        <v>#REF!</v>
      </c>
    </row>
    <row r="312" spans="1:6" x14ac:dyDescent="0.3">
      <c r="A312" s="11" t="e">
        <f>IF(#REF!&gt;=3,#REF!,"")</f>
        <v>#REF!</v>
      </c>
      <c r="B312" s="8">
        <v>13040003</v>
      </c>
      <c r="C312" s="8" t="s">
        <v>128</v>
      </c>
      <c r="D312" s="13">
        <v>0</v>
      </c>
      <c r="E312" s="15" t="s">
        <v>65</v>
      </c>
      <c r="F312" s="16" t="e">
        <f>IF(#REF!&gt;=3,IFERROR(D312*_xlfn.SINGLE(_xlfn.XLOOKUP(B312,MA_ARTICULOS!$A:$A,MA_ARTICULOS!$E:$E,0)),""),"")</f>
        <v>#REF!</v>
      </c>
    </row>
    <row r="313" spans="1:6" x14ac:dyDescent="0.3">
      <c r="A313" s="11" t="e">
        <f>IF(#REF!&gt;=3,#REF!,"")</f>
        <v>#REF!</v>
      </c>
      <c r="B313" s="8">
        <v>13040004</v>
      </c>
      <c r="C313" s="8" t="s">
        <v>129</v>
      </c>
      <c r="D313" s="13">
        <v>0</v>
      </c>
      <c r="E313" s="15" t="s">
        <v>65</v>
      </c>
      <c r="F313" s="16" t="e">
        <f>IF(#REF!&gt;=3,IFERROR(D313*_xlfn.SINGLE(_xlfn.XLOOKUP(B313,MA_ARTICULOS!$A:$A,MA_ARTICULOS!$E:$E,0)),""),"")</f>
        <v>#REF!</v>
      </c>
    </row>
    <row r="314" spans="1:6" x14ac:dyDescent="0.3">
      <c r="A314" s="11" t="e">
        <f>IF(#REF!&gt;=3,#REF!,"")</f>
        <v>#REF!</v>
      </c>
      <c r="B314" s="8">
        <v>13040005</v>
      </c>
      <c r="C314" s="8" t="s">
        <v>130</v>
      </c>
      <c r="D314" s="13">
        <v>0</v>
      </c>
      <c r="E314" s="15" t="s">
        <v>65</v>
      </c>
      <c r="F314" s="16" t="e">
        <f>IF(#REF!&gt;=3,IFERROR(D314*_xlfn.SINGLE(_xlfn.XLOOKUP(B314,MA_ARTICULOS!$A:$A,MA_ARTICULOS!$E:$E,0)),""),"")</f>
        <v>#REF!</v>
      </c>
    </row>
    <row r="315" spans="1:6" x14ac:dyDescent="0.3">
      <c r="A315" s="11" t="e">
        <f>IF(#REF!&gt;=3,#REF!,"")</f>
        <v>#REF!</v>
      </c>
      <c r="B315" s="8">
        <v>13040006</v>
      </c>
      <c r="C315" s="8" t="s">
        <v>131</v>
      </c>
      <c r="D315" s="13">
        <v>0</v>
      </c>
      <c r="E315" s="15" t="s">
        <v>65</v>
      </c>
      <c r="F315" s="16" t="e">
        <f>IF(#REF!&gt;=3,IFERROR(D315*_xlfn.SINGLE(_xlfn.XLOOKUP(B315,MA_ARTICULOS!$A:$A,MA_ARTICULOS!$E:$E,0)),""),"")</f>
        <v>#REF!</v>
      </c>
    </row>
    <row r="316" spans="1:6" x14ac:dyDescent="0.3">
      <c r="A316" s="11" t="e">
        <f>IF(#REF!&gt;=3,#REF!,"")</f>
        <v>#REF!</v>
      </c>
      <c r="B316" s="8">
        <v>13040007</v>
      </c>
      <c r="C316" s="8" t="s">
        <v>132</v>
      </c>
      <c r="D316" s="13">
        <v>0</v>
      </c>
      <c r="E316" s="15" t="s">
        <v>65</v>
      </c>
      <c r="F316" s="16" t="e">
        <f>IF(#REF!&gt;=3,IFERROR(D316*_xlfn.SINGLE(_xlfn.XLOOKUP(B316,MA_ARTICULOS!$A:$A,MA_ARTICULOS!$E:$E,0)),""),"")</f>
        <v>#REF!</v>
      </c>
    </row>
    <row r="317" spans="1:6" x14ac:dyDescent="0.3">
      <c r="A317" s="11" t="e">
        <f>IF(#REF!&gt;=3,#REF!,"")</f>
        <v>#REF!</v>
      </c>
      <c r="B317" s="8">
        <v>13040008</v>
      </c>
      <c r="C317" s="8" t="s">
        <v>133</v>
      </c>
      <c r="D317" s="13">
        <v>0</v>
      </c>
      <c r="E317" s="15" t="s">
        <v>65</v>
      </c>
      <c r="F317" s="16" t="e">
        <f>IF(#REF!&gt;=3,IFERROR(D317*_xlfn.SINGLE(_xlfn.XLOOKUP(B317,MA_ARTICULOS!$A:$A,MA_ARTICULOS!$E:$E,0)),""),"")</f>
        <v>#REF!</v>
      </c>
    </row>
    <row r="318" spans="1:6" x14ac:dyDescent="0.3">
      <c r="A318" s="11" t="e">
        <f>IF(#REF!&gt;=3,#REF!,"")</f>
        <v>#REF!</v>
      </c>
      <c r="B318" s="8">
        <v>13040009</v>
      </c>
      <c r="C318" s="8" t="s">
        <v>134</v>
      </c>
      <c r="D318" s="13">
        <v>0</v>
      </c>
      <c r="E318" s="15" t="s">
        <v>65</v>
      </c>
      <c r="F318" s="16" t="e">
        <f>IF(#REF!&gt;=3,IFERROR(D318*_xlfn.SINGLE(_xlfn.XLOOKUP(B318,MA_ARTICULOS!$A:$A,MA_ARTICULOS!$E:$E,0)),""),"")</f>
        <v>#REF!</v>
      </c>
    </row>
    <row r="319" spans="1:6" x14ac:dyDescent="0.3">
      <c r="A319" s="11" t="e">
        <f>IF(#REF!&gt;=3,#REF!,"")</f>
        <v>#REF!</v>
      </c>
      <c r="B319" s="8">
        <v>13040010</v>
      </c>
      <c r="C319" s="8" t="s">
        <v>135</v>
      </c>
      <c r="D319" s="13">
        <v>0</v>
      </c>
      <c r="E319" s="15" t="s">
        <v>65</v>
      </c>
      <c r="F319" s="16" t="e">
        <f>IF(#REF!&gt;=3,IFERROR(D319*_xlfn.SINGLE(_xlfn.XLOOKUP(B319,MA_ARTICULOS!$A:$A,MA_ARTICULOS!$E:$E,0)),""),"")</f>
        <v>#REF!</v>
      </c>
    </row>
    <row r="320" spans="1:6" x14ac:dyDescent="0.3">
      <c r="A320" s="11" t="e">
        <f>IF(#REF!&gt;=3,#REF!,"")</f>
        <v>#REF!</v>
      </c>
      <c r="B320" s="8">
        <v>13040011</v>
      </c>
      <c r="C320" s="8" t="s">
        <v>136</v>
      </c>
      <c r="D320" s="13">
        <v>0</v>
      </c>
      <c r="E320" s="15" t="s">
        <v>65</v>
      </c>
      <c r="F320" s="16" t="e">
        <f>IF(#REF!&gt;=3,IFERROR(D320*_xlfn.SINGLE(_xlfn.XLOOKUP(B320,MA_ARTICULOS!$A:$A,MA_ARTICULOS!$E:$E,0)),""),"")</f>
        <v>#REF!</v>
      </c>
    </row>
    <row r="321" spans="1:6" x14ac:dyDescent="0.3">
      <c r="A321" s="11" t="e">
        <f>IF(#REF!&gt;=3,#REF!,"")</f>
        <v>#REF!</v>
      </c>
      <c r="B321" s="8">
        <v>13040012</v>
      </c>
      <c r="C321" s="8" t="s">
        <v>137</v>
      </c>
      <c r="D321" s="13">
        <v>0</v>
      </c>
      <c r="E321" s="15" t="s">
        <v>65</v>
      </c>
      <c r="F321" s="16" t="e">
        <f>IF(#REF!&gt;=3,IFERROR(D321*_xlfn.SINGLE(_xlfn.XLOOKUP(B321,MA_ARTICULOS!$A:$A,MA_ARTICULOS!$E:$E,0)),""),"")</f>
        <v>#REF!</v>
      </c>
    </row>
    <row r="322" spans="1:6" x14ac:dyDescent="0.3">
      <c r="A322" s="11" t="e">
        <f>IF(#REF!&gt;=3,#REF!,"")</f>
        <v>#REF!</v>
      </c>
      <c r="B322" s="8">
        <v>13040013</v>
      </c>
      <c r="C322" s="8" t="s">
        <v>138</v>
      </c>
      <c r="D322" s="13">
        <v>0</v>
      </c>
      <c r="E322" s="15" t="s">
        <v>65</v>
      </c>
      <c r="F322" s="16" t="e">
        <f>IF(#REF!&gt;=3,IFERROR(D322*_xlfn.SINGLE(_xlfn.XLOOKUP(B322,MA_ARTICULOS!$A:$A,MA_ARTICULOS!$E:$E,0)),""),"")</f>
        <v>#REF!</v>
      </c>
    </row>
    <row r="323" spans="1:6" x14ac:dyDescent="0.3">
      <c r="A323" s="11" t="e">
        <f>IF(#REF!&gt;=3,#REF!,"")</f>
        <v>#REF!</v>
      </c>
      <c r="B323" s="8">
        <v>13040014</v>
      </c>
      <c r="C323" s="8" t="s">
        <v>139</v>
      </c>
      <c r="D323" s="13">
        <v>0</v>
      </c>
      <c r="E323" s="15" t="s">
        <v>65</v>
      </c>
      <c r="F323" s="16" t="e">
        <f>IF(#REF!&gt;=3,IFERROR(D323*_xlfn.SINGLE(_xlfn.XLOOKUP(B323,MA_ARTICULOS!$A:$A,MA_ARTICULOS!$E:$E,0)),""),"")</f>
        <v>#REF!</v>
      </c>
    </row>
    <row r="324" spans="1:6" x14ac:dyDescent="0.3">
      <c r="A324" s="11" t="e">
        <f>IF(#REF!&gt;=3,#REF!,"")</f>
        <v>#REF!</v>
      </c>
      <c r="B324" s="8">
        <v>13040015</v>
      </c>
      <c r="C324" s="8" t="s">
        <v>140</v>
      </c>
      <c r="D324" s="13">
        <v>0</v>
      </c>
      <c r="E324" s="15" t="s">
        <v>65</v>
      </c>
      <c r="F324" s="16" t="e">
        <f>IF(#REF!&gt;=3,IFERROR(D324*_xlfn.SINGLE(_xlfn.XLOOKUP(B324,MA_ARTICULOS!$A:$A,MA_ARTICULOS!$E:$E,0)),""),"")</f>
        <v>#REF!</v>
      </c>
    </row>
    <row r="325" spans="1:6" x14ac:dyDescent="0.3">
      <c r="A325" s="11" t="e">
        <f>IF(#REF!&gt;=3,#REF!,"")</f>
        <v>#REF!</v>
      </c>
      <c r="B325" s="8">
        <v>13040016</v>
      </c>
      <c r="C325" s="8" t="s">
        <v>141</v>
      </c>
      <c r="D325" s="13">
        <v>0</v>
      </c>
      <c r="E325" s="15" t="s">
        <v>65</v>
      </c>
      <c r="F325" s="16" t="e">
        <f>IF(#REF!&gt;=3,IFERROR(D325*_xlfn.SINGLE(_xlfn.XLOOKUP(B325,MA_ARTICULOS!$A:$A,MA_ARTICULOS!$E:$E,0)),""),"")</f>
        <v>#REF!</v>
      </c>
    </row>
    <row r="326" spans="1:6" x14ac:dyDescent="0.3">
      <c r="A326" s="11" t="e">
        <f>IF(#REF!&gt;=3,#REF!,"")</f>
        <v>#REF!</v>
      </c>
      <c r="B326" s="8">
        <v>13040017</v>
      </c>
      <c r="C326" s="8" t="s">
        <v>142</v>
      </c>
      <c r="D326" s="13">
        <v>0</v>
      </c>
      <c r="E326" s="15" t="s">
        <v>65</v>
      </c>
      <c r="F326" s="16" t="e">
        <f>IF(#REF!&gt;=3,IFERROR(D326*_xlfn.SINGLE(_xlfn.XLOOKUP(B326,MA_ARTICULOS!$A:$A,MA_ARTICULOS!$E:$E,0)),""),"")</f>
        <v>#REF!</v>
      </c>
    </row>
    <row r="327" spans="1:6" x14ac:dyDescent="0.3">
      <c r="A327" s="11" t="e">
        <f>IF(#REF!&gt;=3,#REF!,"")</f>
        <v>#REF!</v>
      </c>
      <c r="B327" s="8">
        <v>13040018</v>
      </c>
      <c r="C327" s="8" t="s">
        <v>143</v>
      </c>
      <c r="D327" s="13">
        <v>0</v>
      </c>
      <c r="E327" s="15" t="s">
        <v>65</v>
      </c>
      <c r="F327" s="16" t="e">
        <f>IF(#REF!&gt;=3,IFERROR(D327*_xlfn.SINGLE(_xlfn.XLOOKUP(B327,MA_ARTICULOS!$A:$A,MA_ARTICULOS!$E:$E,0)),""),"")</f>
        <v>#REF!</v>
      </c>
    </row>
    <row r="328" spans="1:6" x14ac:dyDescent="0.3">
      <c r="A328" s="11" t="e">
        <f>IF(#REF!&gt;=3,#REF!,"")</f>
        <v>#REF!</v>
      </c>
      <c r="B328" s="8">
        <v>13040101</v>
      </c>
      <c r="C328" s="8" t="s">
        <v>144</v>
      </c>
      <c r="D328" s="13">
        <v>0</v>
      </c>
      <c r="E328" s="15" t="s">
        <v>65</v>
      </c>
      <c r="F328" s="16" t="e">
        <f>IF(#REF!&gt;=3,IFERROR(D328*_xlfn.SINGLE(_xlfn.XLOOKUP(B328,MA_ARTICULOS!$A:$A,MA_ARTICULOS!$E:$E,0)),""),"")</f>
        <v>#REF!</v>
      </c>
    </row>
    <row r="329" spans="1:6" x14ac:dyDescent="0.3">
      <c r="A329" s="11" t="e">
        <f>IF(#REF!&gt;=3,#REF!,"")</f>
        <v>#REF!</v>
      </c>
      <c r="B329" s="8">
        <v>13040102</v>
      </c>
      <c r="C329" s="8" t="s">
        <v>145</v>
      </c>
      <c r="D329" s="13">
        <v>0</v>
      </c>
      <c r="E329" s="15" t="s">
        <v>65</v>
      </c>
      <c r="F329" s="16" t="e">
        <f>IF(#REF!&gt;=3,IFERROR(D329*_xlfn.SINGLE(_xlfn.XLOOKUP(B329,MA_ARTICULOS!$A:$A,MA_ARTICULOS!$E:$E,0)),""),"")</f>
        <v>#REF!</v>
      </c>
    </row>
    <row r="330" spans="1:6" x14ac:dyDescent="0.3">
      <c r="A330" s="11" t="e">
        <f>IF(#REF!&gt;=3,#REF!,"")</f>
        <v>#REF!</v>
      </c>
      <c r="B330" s="8">
        <v>13040103</v>
      </c>
      <c r="C330" s="8" t="s">
        <v>146</v>
      </c>
      <c r="D330" s="13">
        <v>0</v>
      </c>
      <c r="E330" s="15" t="s">
        <v>65</v>
      </c>
      <c r="F330" s="16" t="e">
        <f>IF(#REF!&gt;=3,IFERROR(D330*_xlfn.SINGLE(_xlfn.XLOOKUP(B330,MA_ARTICULOS!$A:$A,MA_ARTICULOS!$E:$E,0)),""),"")</f>
        <v>#REF!</v>
      </c>
    </row>
    <row r="331" spans="1:6" x14ac:dyDescent="0.3">
      <c r="A331" s="11" t="e">
        <f>IF(#REF!&gt;=3,#REF!,"")</f>
        <v>#REF!</v>
      </c>
      <c r="B331" s="8">
        <v>13050001</v>
      </c>
      <c r="C331" s="8" t="s">
        <v>147</v>
      </c>
      <c r="D331" s="13">
        <v>0</v>
      </c>
      <c r="E331" s="15" t="s">
        <v>65</v>
      </c>
      <c r="F331" s="16" t="e">
        <f>IF(#REF!&gt;=3,IFERROR(D331*_xlfn.SINGLE(_xlfn.XLOOKUP(B331,MA_ARTICULOS!$A:$A,MA_ARTICULOS!$E:$E,0)),""),"")</f>
        <v>#REF!</v>
      </c>
    </row>
    <row r="332" spans="1:6" x14ac:dyDescent="0.3">
      <c r="A332" s="11" t="e">
        <f>IF(#REF!&gt;=3,#REF!,"")</f>
        <v>#REF!</v>
      </c>
      <c r="B332" s="8">
        <v>13050002</v>
      </c>
      <c r="C332" s="8" t="s">
        <v>148</v>
      </c>
      <c r="D332" s="13">
        <v>0</v>
      </c>
      <c r="E332" s="15" t="s">
        <v>65</v>
      </c>
      <c r="F332" s="16" t="e">
        <f>IF(#REF!&gt;=3,IFERROR(D332*_xlfn.SINGLE(_xlfn.XLOOKUP(B332,MA_ARTICULOS!$A:$A,MA_ARTICULOS!$E:$E,0)),""),"")</f>
        <v>#REF!</v>
      </c>
    </row>
    <row r="333" spans="1:6" x14ac:dyDescent="0.3">
      <c r="A333" s="11" t="e">
        <f>IF(#REF!&gt;=3,#REF!,"")</f>
        <v>#REF!</v>
      </c>
      <c r="B333" s="8">
        <v>13050003</v>
      </c>
      <c r="C333" s="8" t="s">
        <v>149</v>
      </c>
      <c r="D333" s="13">
        <v>0</v>
      </c>
      <c r="E333" s="15" t="s">
        <v>65</v>
      </c>
      <c r="F333" s="16" t="e">
        <f>IF(#REF!&gt;=3,IFERROR(D333*_xlfn.SINGLE(_xlfn.XLOOKUP(B333,MA_ARTICULOS!$A:$A,MA_ARTICULOS!$E:$E,0)),""),"")</f>
        <v>#REF!</v>
      </c>
    </row>
    <row r="334" spans="1:6" x14ac:dyDescent="0.3">
      <c r="A334" s="11" t="e">
        <f>IF(#REF!&gt;=3,#REF!,"")</f>
        <v>#REF!</v>
      </c>
      <c r="B334" s="8">
        <v>13050004</v>
      </c>
      <c r="C334" s="8" t="s">
        <v>150</v>
      </c>
      <c r="D334" s="13">
        <v>0</v>
      </c>
      <c r="E334" s="15" t="s">
        <v>65</v>
      </c>
      <c r="F334" s="16" t="e">
        <f>IF(#REF!&gt;=3,IFERROR(D334*_xlfn.SINGLE(_xlfn.XLOOKUP(B334,MA_ARTICULOS!$A:$A,MA_ARTICULOS!$E:$E,0)),""),"")</f>
        <v>#REF!</v>
      </c>
    </row>
    <row r="335" spans="1:6" x14ac:dyDescent="0.3">
      <c r="A335" s="11" t="e">
        <f>IF(#REF!&gt;=3,#REF!,"")</f>
        <v>#REF!</v>
      </c>
      <c r="B335" s="8">
        <v>13050005</v>
      </c>
      <c r="C335" s="8" t="s">
        <v>151</v>
      </c>
      <c r="D335" s="13">
        <v>0</v>
      </c>
      <c r="E335" s="15" t="s">
        <v>65</v>
      </c>
      <c r="F335" s="16" t="e">
        <f>IF(#REF!&gt;=3,IFERROR(D335*_xlfn.SINGLE(_xlfn.XLOOKUP(B335,MA_ARTICULOS!$A:$A,MA_ARTICULOS!$E:$E,0)),""),"")</f>
        <v>#REF!</v>
      </c>
    </row>
    <row r="336" spans="1:6" x14ac:dyDescent="0.3">
      <c r="A336" s="11" t="e">
        <f>IF(#REF!&gt;=3,#REF!,"")</f>
        <v>#REF!</v>
      </c>
      <c r="B336" s="8">
        <v>13050006</v>
      </c>
      <c r="C336" s="8" t="s">
        <v>152</v>
      </c>
      <c r="D336" s="13">
        <v>0</v>
      </c>
      <c r="E336" s="15" t="s">
        <v>65</v>
      </c>
      <c r="F336" s="16" t="e">
        <f>IF(#REF!&gt;=3,IFERROR(D336*_xlfn.SINGLE(_xlfn.XLOOKUP(B336,MA_ARTICULOS!$A:$A,MA_ARTICULOS!$E:$E,0)),""),"")</f>
        <v>#REF!</v>
      </c>
    </row>
    <row r="337" spans="1:6" x14ac:dyDescent="0.3">
      <c r="A337" s="11" t="e">
        <f>IF(#REF!&gt;=3,#REF!,"")</f>
        <v>#REF!</v>
      </c>
      <c r="B337" s="8">
        <v>13050007</v>
      </c>
      <c r="C337" s="8" t="s">
        <v>153</v>
      </c>
      <c r="D337" s="13">
        <v>0</v>
      </c>
      <c r="E337" s="15" t="s">
        <v>65</v>
      </c>
      <c r="F337" s="16" t="e">
        <f>IF(#REF!&gt;=3,IFERROR(D337*_xlfn.SINGLE(_xlfn.XLOOKUP(B337,MA_ARTICULOS!$A:$A,MA_ARTICULOS!$E:$E,0)),""),"")</f>
        <v>#REF!</v>
      </c>
    </row>
    <row r="338" spans="1:6" x14ac:dyDescent="0.3">
      <c r="A338" s="11" t="e">
        <f>IF(#REF!&gt;=3,#REF!,"")</f>
        <v>#REF!</v>
      </c>
      <c r="B338" s="8">
        <v>13050008</v>
      </c>
      <c r="C338" s="8" t="s">
        <v>154</v>
      </c>
      <c r="D338" s="13">
        <v>0</v>
      </c>
      <c r="E338" s="15" t="s">
        <v>65</v>
      </c>
      <c r="F338" s="16" t="e">
        <f>IF(#REF!&gt;=3,IFERROR(D338*_xlfn.SINGLE(_xlfn.XLOOKUP(B338,MA_ARTICULOS!$A:$A,MA_ARTICULOS!$E:$E,0)),""),"")</f>
        <v>#REF!</v>
      </c>
    </row>
    <row r="339" spans="1:6" x14ac:dyDescent="0.3">
      <c r="A339" s="11" t="e">
        <f>IF(#REF!&gt;=3,#REF!,"")</f>
        <v>#REF!</v>
      </c>
      <c r="B339" s="8">
        <v>13089001</v>
      </c>
      <c r="C339" s="8" t="s">
        <v>155</v>
      </c>
      <c r="D339" s="13">
        <v>0</v>
      </c>
      <c r="E339" s="15" t="s">
        <v>65</v>
      </c>
      <c r="F339" s="16" t="e">
        <f>IF(#REF!&gt;=3,IFERROR(D339*_xlfn.SINGLE(_xlfn.XLOOKUP(B339,MA_ARTICULOS!$A:$A,MA_ARTICULOS!$E:$E,0)),""),"")</f>
        <v>#REF!</v>
      </c>
    </row>
    <row r="340" spans="1:6" x14ac:dyDescent="0.3">
      <c r="A340" s="11" t="e">
        <f>IF(#REF!&gt;=3,#REF!,"")</f>
        <v>#REF!</v>
      </c>
      <c r="B340" s="8">
        <v>13089002</v>
      </c>
      <c r="C340" s="8" t="s">
        <v>156</v>
      </c>
      <c r="D340" s="13">
        <v>0</v>
      </c>
      <c r="E340" s="15" t="s">
        <v>65</v>
      </c>
      <c r="F340" s="16" t="e">
        <f>IF(#REF!&gt;=3,IFERROR(D340*_xlfn.SINGLE(_xlfn.XLOOKUP(B340,MA_ARTICULOS!$A:$A,MA_ARTICULOS!$E:$E,0)),""),"")</f>
        <v>#REF!</v>
      </c>
    </row>
    <row r="341" spans="1:6" x14ac:dyDescent="0.3">
      <c r="A341" s="11" t="e">
        <f>IF(#REF!&gt;=3,#REF!,"")</f>
        <v>#REF!</v>
      </c>
      <c r="B341" s="8">
        <v>13089003</v>
      </c>
      <c r="C341" s="8" t="s">
        <v>157</v>
      </c>
      <c r="D341" s="13">
        <v>0</v>
      </c>
      <c r="E341" s="15" t="s">
        <v>65</v>
      </c>
      <c r="F341" s="16" t="e">
        <f>IF(#REF!&gt;=3,IFERROR(D341*_xlfn.SINGLE(_xlfn.XLOOKUP(B341,MA_ARTICULOS!$A:$A,MA_ARTICULOS!$E:$E,0)),""),"")</f>
        <v>#REF!</v>
      </c>
    </row>
    <row r="342" spans="1:6" x14ac:dyDescent="0.3">
      <c r="A342" s="11" t="e">
        <f>IF(#REF!&gt;=3,#REF!,"")</f>
        <v>#REF!</v>
      </c>
      <c r="B342" s="8">
        <v>13089004</v>
      </c>
      <c r="C342" s="8" t="s">
        <v>158</v>
      </c>
      <c r="D342" s="13">
        <v>0</v>
      </c>
      <c r="E342" s="15" t="s">
        <v>65</v>
      </c>
      <c r="F342" s="16" t="e">
        <f>IF(#REF!&gt;=3,IFERROR(D342*_xlfn.SINGLE(_xlfn.XLOOKUP(B342,MA_ARTICULOS!$A:$A,MA_ARTICULOS!$E:$E,0)),""),"")</f>
        <v>#REF!</v>
      </c>
    </row>
    <row r="343" spans="1:6" x14ac:dyDescent="0.3">
      <c r="A343" s="11" t="e">
        <f>IF(#REF!&gt;=3,#REF!,"")</f>
        <v>#REF!</v>
      </c>
      <c r="B343" s="8">
        <v>13089005</v>
      </c>
      <c r="C343" s="8" t="s">
        <v>159</v>
      </c>
      <c r="D343" s="13">
        <v>0</v>
      </c>
      <c r="E343" s="15" t="s">
        <v>65</v>
      </c>
      <c r="F343" s="16" t="e">
        <f>IF(#REF!&gt;=3,IFERROR(D343*_xlfn.SINGLE(_xlfn.XLOOKUP(B343,MA_ARTICULOS!$A:$A,MA_ARTICULOS!$E:$E,0)),""),"")</f>
        <v>#REF!</v>
      </c>
    </row>
    <row r="344" spans="1:6" x14ac:dyDescent="0.3">
      <c r="A344" s="11" t="e">
        <f>IF(#REF!&gt;=3,#REF!,"")</f>
        <v>#REF!</v>
      </c>
      <c r="B344" s="8">
        <v>13089006</v>
      </c>
      <c r="C344" s="8" t="s">
        <v>160</v>
      </c>
      <c r="D344" s="13">
        <v>0</v>
      </c>
      <c r="E344" s="15" t="s">
        <v>65</v>
      </c>
      <c r="F344" s="16" t="e">
        <f>IF(#REF!&gt;=3,IFERROR(D344*_xlfn.SINGLE(_xlfn.XLOOKUP(B344,MA_ARTICULOS!$A:$A,MA_ARTICULOS!$E:$E,0)),""),"")</f>
        <v>#REF!</v>
      </c>
    </row>
    <row r="345" spans="1:6" x14ac:dyDescent="0.3">
      <c r="A345" s="11" t="e">
        <f>IF(#REF!&gt;=3,#REF!,"")</f>
        <v>#REF!</v>
      </c>
      <c r="B345" s="8">
        <v>13089007</v>
      </c>
      <c r="C345" s="8" t="s">
        <v>161</v>
      </c>
      <c r="D345" s="13">
        <v>0</v>
      </c>
      <c r="E345" s="15" t="s">
        <v>65</v>
      </c>
      <c r="F345" s="16" t="e">
        <f>IF(#REF!&gt;=3,IFERROR(D345*_xlfn.SINGLE(_xlfn.XLOOKUP(B345,MA_ARTICULOS!$A:$A,MA_ARTICULOS!$E:$E,0)),""),"")</f>
        <v>#REF!</v>
      </c>
    </row>
    <row r="346" spans="1:6" x14ac:dyDescent="0.3">
      <c r="A346" s="11" t="e">
        <f>IF(#REF!&gt;=3,#REF!,"")</f>
        <v>#REF!</v>
      </c>
      <c r="B346" s="8">
        <v>13090001</v>
      </c>
      <c r="C346" s="8" t="s">
        <v>162</v>
      </c>
      <c r="D346" s="13">
        <v>0</v>
      </c>
      <c r="E346" s="15" t="s">
        <v>65</v>
      </c>
      <c r="F346" s="16" t="e">
        <f>IF(#REF!&gt;=3,IFERROR(D346*_xlfn.SINGLE(_xlfn.XLOOKUP(B346,MA_ARTICULOS!$A:$A,MA_ARTICULOS!$E:$E,0)),""),"")</f>
        <v>#REF!</v>
      </c>
    </row>
    <row r="347" spans="1:6" x14ac:dyDescent="0.3">
      <c r="A347" s="11" t="e">
        <f>IF(#REF!&gt;=3,#REF!,"")</f>
        <v>#REF!</v>
      </c>
      <c r="B347" s="8">
        <v>13090002</v>
      </c>
      <c r="C347" s="8" t="s">
        <v>163</v>
      </c>
      <c r="D347" s="13">
        <v>0</v>
      </c>
      <c r="E347" s="15" t="s">
        <v>65</v>
      </c>
      <c r="F347" s="16" t="e">
        <f>IF(#REF!&gt;=3,IFERROR(D347*_xlfn.SINGLE(_xlfn.XLOOKUP(B347,MA_ARTICULOS!$A:$A,MA_ARTICULOS!$E:$E,0)),""),"")</f>
        <v>#REF!</v>
      </c>
    </row>
    <row r="348" spans="1:6" x14ac:dyDescent="0.3">
      <c r="A348" s="11" t="e">
        <f>IF(#REF!&gt;=3,#REF!,"")</f>
        <v>#REF!</v>
      </c>
      <c r="B348" s="8">
        <v>13099001</v>
      </c>
      <c r="C348" s="8" t="s">
        <v>164</v>
      </c>
      <c r="D348" s="13">
        <v>0</v>
      </c>
      <c r="E348" s="15" t="s">
        <v>65</v>
      </c>
      <c r="F348" s="16" t="e">
        <f>IF(#REF!&gt;=3,IFERROR(D348*_xlfn.SINGLE(_xlfn.XLOOKUP(B348,MA_ARTICULOS!$A:$A,MA_ARTICULOS!$E:$E,0)),""),"")</f>
        <v>#REF!</v>
      </c>
    </row>
    <row r="349" spans="1:6" x14ac:dyDescent="0.3">
      <c r="A349" s="11" t="e">
        <f>IF(#REF!&gt;=3,#REF!,"")</f>
        <v>#REF!</v>
      </c>
      <c r="B349" s="8">
        <v>13099002</v>
      </c>
      <c r="C349" s="8" t="s">
        <v>165</v>
      </c>
      <c r="D349" s="13">
        <v>0</v>
      </c>
      <c r="E349" s="15" t="s">
        <v>65</v>
      </c>
      <c r="F349" s="16" t="e">
        <f>IF(#REF!&gt;=3,IFERROR(D349*_xlfn.SINGLE(_xlfn.XLOOKUP(B349,MA_ARTICULOS!$A:$A,MA_ARTICULOS!$E:$E,0)),""),"")</f>
        <v>#REF!</v>
      </c>
    </row>
    <row r="350" spans="1:6" x14ac:dyDescent="0.3">
      <c r="A350" s="11" t="e">
        <f>IF(#REF!&gt;=3,#REF!,"")</f>
        <v>#REF!</v>
      </c>
      <c r="B350" s="8">
        <v>13110001</v>
      </c>
      <c r="C350" s="8" t="s">
        <v>166</v>
      </c>
      <c r="D350" s="13">
        <v>0</v>
      </c>
      <c r="E350" s="15" t="s">
        <v>65</v>
      </c>
      <c r="F350" s="16" t="e">
        <f>IF(#REF!&gt;=3,IFERROR(D350*_xlfn.SINGLE(_xlfn.XLOOKUP(B350,MA_ARTICULOS!$A:$A,MA_ARTICULOS!$E:$E,0)),""),"")</f>
        <v>#REF!</v>
      </c>
    </row>
    <row r="351" spans="1:6" x14ac:dyDescent="0.3">
      <c r="A351" s="11" t="e">
        <f>IF(#REF!&gt;=3,#REF!,"")</f>
        <v>#REF!</v>
      </c>
      <c r="B351" s="8">
        <v>13110002</v>
      </c>
      <c r="C351" s="8" t="s">
        <v>167</v>
      </c>
      <c r="D351" s="13">
        <v>0</v>
      </c>
      <c r="E351" s="15" t="s">
        <v>65</v>
      </c>
      <c r="F351" s="16" t="e">
        <f>IF(#REF!&gt;=3,IFERROR(D351*_xlfn.SINGLE(_xlfn.XLOOKUP(B351,MA_ARTICULOS!$A:$A,MA_ARTICULOS!$E:$E,0)),""),"")</f>
        <v>#REF!</v>
      </c>
    </row>
    <row r="352" spans="1:6" x14ac:dyDescent="0.3">
      <c r="A352" s="11" t="e">
        <f>IF(#REF!&gt;=3,#REF!,"")</f>
        <v>#REF!</v>
      </c>
      <c r="B352" s="8">
        <v>13110003</v>
      </c>
      <c r="C352" s="8" t="s">
        <v>168</v>
      </c>
      <c r="D352" s="13">
        <v>0</v>
      </c>
      <c r="E352" s="15" t="s">
        <v>65</v>
      </c>
      <c r="F352" s="16" t="e">
        <f>IF(#REF!&gt;=3,IFERROR(D352*_xlfn.SINGLE(_xlfn.XLOOKUP(B352,MA_ARTICULOS!$A:$A,MA_ARTICULOS!$E:$E,0)),""),"")</f>
        <v>#REF!</v>
      </c>
    </row>
    <row r="353" spans="1:6" x14ac:dyDescent="0.3">
      <c r="A353" s="11" t="e">
        <f>IF(#REF!&gt;=3,#REF!,"")</f>
        <v>#REF!</v>
      </c>
      <c r="B353" s="8">
        <v>13110004</v>
      </c>
      <c r="C353" s="8" t="s">
        <v>169</v>
      </c>
      <c r="D353" s="13">
        <v>0</v>
      </c>
      <c r="E353" s="15" t="s">
        <v>65</v>
      </c>
      <c r="F353" s="16" t="e">
        <f>IF(#REF!&gt;=3,IFERROR(D353*_xlfn.SINGLE(_xlfn.XLOOKUP(B353,MA_ARTICULOS!$A:$A,MA_ARTICULOS!$E:$E,0)),""),"")</f>
        <v>#REF!</v>
      </c>
    </row>
    <row r="354" spans="1:6" x14ac:dyDescent="0.3">
      <c r="A354" s="11" t="e">
        <f>IF(#REF!&gt;=3,#REF!,"")</f>
        <v>#REF!</v>
      </c>
      <c r="B354" s="8">
        <v>13130001</v>
      </c>
      <c r="C354" s="8" t="s">
        <v>170</v>
      </c>
      <c r="D354" s="13">
        <v>0</v>
      </c>
      <c r="E354" s="15" t="s">
        <v>65</v>
      </c>
      <c r="F354" s="16" t="e">
        <f>IF(#REF!&gt;=3,IFERROR(D354*_xlfn.SINGLE(_xlfn.XLOOKUP(B354,MA_ARTICULOS!$A:$A,MA_ARTICULOS!$E:$E,0)),""),"")</f>
        <v>#REF!</v>
      </c>
    </row>
    <row r="355" spans="1:6" x14ac:dyDescent="0.3">
      <c r="A355" s="11" t="e">
        <f>IF(#REF!&gt;=3,#REF!,"")</f>
        <v>#REF!</v>
      </c>
      <c r="B355" s="8">
        <v>13130002</v>
      </c>
      <c r="C355" s="8" t="s">
        <v>171</v>
      </c>
      <c r="D355" s="13">
        <v>0</v>
      </c>
      <c r="E355" s="15" t="s">
        <v>65</v>
      </c>
      <c r="F355" s="16" t="e">
        <f>IF(#REF!&gt;=3,IFERROR(D355*_xlfn.SINGLE(_xlfn.XLOOKUP(B355,MA_ARTICULOS!$A:$A,MA_ARTICULOS!$E:$E,0)),""),"")</f>
        <v>#REF!</v>
      </c>
    </row>
    <row r="356" spans="1:6" x14ac:dyDescent="0.3">
      <c r="A356" s="11" t="e">
        <f>IF(#REF!&gt;=3,#REF!,"")</f>
        <v>#REF!</v>
      </c>
      <c r="B356" s="8">
        <v>13130003</v>
      </c>
      <c r="C356" s="8" t="s">
        <v>172</v>
      </c>
      <c r="D356" s="13">
        <v>0</v>
      </c>
      <c r="E356" s="15" t="s">
        <v>65</v>
      </c>
      <c r="F356" s="16" t="e">
        <f>IF(#REF!&gt;=3,IFERROR(D356*_xlfn.SINGLE(_xlfn.XLOOKUP(B356,MA_ARTICULOS!$A:$A,MA_ARTICULOS!$E:$E,0)),""),"")</f>
        <v>#REF!</v>
      </c>
    </row>
    <row r="357" spans="1:6" x14ac:dyDescent="0.3">
      <c r="A357" s="11" t="e">
        <f>IF(#REF!&gt;=3,#REF!,"")</f>
        <v>#REF!</v>
      </c>
      <c r="B357" s="8">
        <v>23080001</v>
      </c>
      <c r="C357" s="8" t="s">
        <v>173</v>
      </c>
      <c r="D357" s="13">
        <v>0</v>
      </c>
      <c r="E357" s="15" t="s">
        <v>65</v>
      </c>
      <c r="F357" s="16" t="e">
        <f>IF(#REF!&gt;=3,IFERROR(D357*_xlfn.SINGLE(_xlfn.XLOOKUP(B357,MA_ARTICULOS!$A:$A,MA_ARTICULOS!$E:$E,0)),""),"")</f>
        <v>#REF!</v>
      </c>
    </row>
    <row r="358" spans="1:6" x14ac:dyDescent="0.3">
      <c r="A358" s="11" t="e">
        <f>IF(#REF!&gt;=3,#REF!,"")</f>
        <v>#REF!</v>
      </c>
      <c r="B358" s="8">
        <v>23080002</v>
      </c>
      <c r="C358" s="8" t="s">
        <v>174</v>
      </c>
      <c r="D358" s="13">
        <v>0</v>
      </c>
      <c r="E358" s="15" t="s">
        <v>65</v>
      </c>
      <c r="F358" s="16" t="e">
        <f>IF(#REF!&gt;=3,IFERROR(D358*_xlfn.SINGLE(_xlfn.XLOOKUP(B358,MA_ARTICULOS!$A:$A,MA_ARTICULOS!$E:$E,0)),""),"")</f>
        <v>#REF!</v>
      </c>
    </row>
    <row r="359" spans="1:6" x14ac:dyDescent="0.3">
      <c r="A359" s="11" t="e">
        <f>IF(#REF!&gt;=3,#REF!,"")</f>
        <v>#REF!</v>
      </c>
      <c r="B359" s="8">
        <v>23080003</v>
      </c>
      <c r="C359" s="8" t="s">
        <v>175</v>
      </c>
      <c r="D359" s="13">
        <v>0</v>
      </c>
      <c r="E359" s="15" t="s">
        <v>65</v>
      </c>
      <c r="F359" s="16" t="e">
        <f>IF(#REF!&gt;=3,IFERROR(D359*_xlfn.SINGLE(_xlfn.XLOOKUP(B359,MA_ARTICULOS!$A:$A,MA_ARTICULOS!$E:$E,0)),""),"")</f>
        <v>#REF!</v>
      </c>
    </row>
    <row r="360" spans="1:6" x14ac:dyDescent="0.3">
      <c r="A360" s="11" t="e">
        <f>IF(#REF!&gt;=3,#REF!,"")</f>
        <v>#REF!</v>
      </c>
      <c r="B360" s="8">
        <v>23080004</v>
      </c>
      <c r="C360" s="8" t="s">
        <v>176</v>
      </c>
      <c r="D360" s="13">
        <v>0</v>
      </c>
      <c r="E360" s="15" t="s">
        <v>65</v>
      </c>
      <c r="F360" s="16" t="e">
        <f>IF(#REF!&gt;=3,IFERROR(D360*_xlfn.SINGLE(_xlfn.XLOOKUP(B360,MA_ARTICULOS!$A:$A,MA_ARTICULOS!$E:$E,0)),""),"")</f>
        <v>#REF!</v>
      </c>
    </row>
    <row r="361" spans="1:6" x14ac:dyDescent="0.3">
      <c r="A361" s="11" t="e">
        <f>IF(#REF!&gt;=3,#REF!,"")</f>
        <v>#REF!</v>
      </c>
      <c r="B361" s="8">
        <v>23080005</v>
      </c>
      <c r="C361" s="8" t="s">
        <v>177</v>
      </c>
      <c r="D361" s="13">
        <v>0</v>
      </c>
      <c r="E361" s="15" t="s">
        <v>65</v>
      </c>
      <c r="F361" s="16" t="e">
        <f>IF(#REF!&gt;=3,IFERROR(D361*_xlfn.SINGLE(_xlfn.XLOOKUP(B361,MA_ARTICULOS!$A:$A,MA_ARTICULOS!$E:$E,0)),""),"")</f>
        <v>#REF!</v>
      </c>
    </row>
    <row r="362" spans="1:6" x14ac:dyDescent="0.3">
      <c r="A362" s="11" t="e">
        <f>IF(#REF!&gt;=3,#REF!,"")</f>
        <v>#REF!</v>
      </c>
      <c r="B362" s="8">
        <v>23080006</v>
      </c>
      <c r="C362" s="8" t="s">
        <v>178</v>
      </c>
      <c r="D362" s="13">
        <v>0</v>
      </c>
      <c r="E362" s="15" t="s">
        <v>65</v>
      </c>
      <c r="F362" s="16" t="e">
        <f>IF(#REF!&gt;=3,IFERROR(D362*_xlfn.SINGLE(_xlfn.XLOOKUP(B362,MA_ARTICULOS!$A:$A,MA_ARTICULOS!$E:$E,0)),""),"")</f>
        <v>#REF!</v>
      </c>
    </row>
    <row r="363" spans="1:6" x14ac:dyDescent="0.3">
      <c r="A363" s="11" t="e">
        <f>IF(#REF!&gt;=3,#REF!,"")</f>
        <v>#REF!</v>
      </c>
      <c r="B363" s="8">
        <v>23080007</v>
      </c>
      <c r="C363" s="8" t="s">
        <v>179</v>
      </c>
      <c r="D363" s="13">
        <v>0</v>
      </c>
      <c r="E363" s="15" t="s">
        <v>65</v>
      </c>
      <c r="F363" s="16" t="e">
        <f>IF(#REF!&gt;=3,IFERROR(D363*_xlfn.SINGLE(_xlfn.XLOOKUP(B363,MA_ARTICULOS!$A:$A,MA_ARTICULOS!$E:$E,0)),""),"")</f>
        <v>#REF!</v>
      </c>
    </row>
    <row r="364" spans="1:6" x14ac:dyDescent="0.3">
      <c r="A364" s="11" t="e">
        <f>IF(#REF!&gt;=3,#REF!,"")</f>
        <v>#REF!</v>
      </c>
      <c r="B364" s="8">
        <v>101</v>
      </c>
      <c r="C364" s="8" t="s">
        <v>180</v>
      </c>
      <c r="D364" s="13">
        <v>0</v>
      </c>
      <c r="E364" s="15" t="s">
        <v>65</v>
      </c>
      <c r="F364" s="16" t="e">
        <f>IF(#REF!&gt;=3,IFERROR(D364*_xlfn.SINGLE(_xlfn.XLOOKUP(B364,MA_ARTICULOS!$A:$A,MA_ARTICULOS!$E:$E,0)),""),"")</f>
        <v>#REF!</v>
      </c>
    </row>
    <row r="365" spans="1:6" x14ac:dyDescent="0.3">
      <c r="A365" s="11" t="e">
        <f>IF(#REF!&gt;=3,#REF!,"")</f>
        <v>#REF!</v>
      </c>
      <c r="B365" s="8">
        <v>102</v>
      </c>
      <c r="C365" s="8" t="s">
        <v>181</v>
      </c>
      <c r="D365" s="13">
        <v>0</v>
      </c>
      <c r="E365" s="15" t="s">
        <v>65</v>
      </c>
      <c r="F365" s="16" t="e">
        <f>IF(#REF!&gt;=3,IFERROR(D365*_xlfn.SINGLE(_xlfn.XLOOKUP(B365,MA_ARTICULOS!$A:$A,MA_ARTICULOS!$E:$E,0)),""),"")</f>
        <v>#REF!</v>
      </c>
    </row>
    <row r="366" spans="1:6" x14ac:dyDescent="0.3">
      <c r="A366" s="11" t="e">
        <f>IF(#REF!&gt;=3,#REF!,"")</f>
        <v>#REF!</v>
      </c>
      <c r="B366" s="8">
        <v>104</v>
      </c>
      <c r="C366" s="8" t="s">
        <v>182</v>
      </c>
      <c r="D366" s="13">
        <v>0</v>
      </c>
      <c r="E366" s="15" t="s">
        <v>65</v>
      </c>
      <c r="F366" s="16" t="e">
        <f>IF(#REF!&gt;=3,IFERROR(D366*_xlfn.SINGLE(_xlfn.XLOOKUP(B366,MA_ARTICULOS!$A:$A,MA_ARTICULOS!$E:$E,0)),""),"")</f>
        <v>#REF!</v>
      </c>
    </row>
    <row r="367" spans="1:6" x14ac:dyDescent="0.3">
      <c r="A367" s="11" t="e">
        <f>IF(#REF!&gt;=3,#REF!,"")</f>
        <v>#REF!</v>
      </c>
      <c r="B367" s="8">
        <v>105</v>
      </c>
      <c r="C367" s="8" t="s">
        <v>183</v>
      </c>
      <c r="D367" s="13">
        <v>0</v>
      </c>
      <c r="E367" s="15" t="s">
        <v>65</v>
      </c>
      <c r="F367" s="16" t="e">
        <f>IF(#REF!&gt;=3,IFERROR(D367*_xlfn.SINGLE(_xlfn.XLOOKUP(B367,MA_ARTICULOS!$A:$A,MA_ARTICULOS!$E:$E,0)),""),"")</f>
        <v>#REF!</v>
      </c>
    </row>
    <row r="368" spans="1:6" x14ac:dyDescent="0.3">
      <c r="A368" s="11" t="e">
        <f>IF(#REF!&gt;=3,#REF!,"")</f>
        <v>#REF!</v>
      </c>
      <c r="B368" s="8">
        <v>106</v>
      </c>
      <c r="C368" s="8" t="s">
        <v>184</v>
      </c>
      <c r="D368" s="13">
        <v>0</v>
      </c>
      <c r="E368" s="15" t="s">
        <v>65</v>
      </c>
      <c r="F368" s="16" t="e">
        <f>IF(#REF!&gt;=3,IFERROR(D368*_xlfn.SINGLE(_xlfn.XLOOKUP(B368,MA_ARTICULOS!$A:$A,MA_ARTICULOS!$E:$E,0)),""),"")</f>
        <v>#REF!</v>
      </c>
    </row>
    <row r="369" spans="1:6" x14ac:dyDescent="0.3">
      <c r="A369" s="11" t="e">
        <f>IF(#REF!&gt;=3,#REF!,"")</f>
        <v>#REF!</v>
      </c>
      <c r="B369" s="8">
        <v>120</v>
      </c>
      <c r="C369" s="8" t="s">
        <v>185</v>
      </c>
      <c r="D369" s="13">
        <v>0</v>
      </c>
      <c r="E369" s="15" t="s">
        <v>65</v>
      </c>
      <c r="F369" s="16" t="e">
        <f>IF(#REF!&gt;=3,IFERROR(D369*_xlfn.SINGLE(_xlfn.XLOOKUP(B369,MA_ARTICULOS!$A:$A,MA_ARTICULOS!$E:$E,0)),""),"")</f>
        <v>#REF!</v>
      </c>
    </row>
    <row r="370" spans="1:6" x14ac:dyDescent="0.3">
      <c r="A370" s="11" t="e">
        <f>IF(#REF!&gt;=3,#REF!,"")</f>
        <v>#REF!</v>
      </c>
      <c r="B370" s="8">
        <v>121</v>
      </c>
      <c r="C370" s="8" t="s">
        <v>186</v>
      </c>
      <c r="D370" s="13">
        <v>0</v>
      </c>
      <c r="E370" s="15" t="s">
        <v>65</v>
      </c>
      <c r="F370" s="16" t="e">
        <f>IF(#REF!&gt;=3,IFERROR(D370*_xlfn.SINGLE(_xlfn.XLOOKUP(B370,MA_ARTICULOS!$A:$A,MA_ARTICULOS!$E:$E,0)),""),"")</f>
        <v>#REF!</v>
      </c>
    </row>
    <row r="371" spans="1:6" x14ac:dyDescent="0.3">
      <c r="A371" s="18" t="s">
        <v>214</v>
      </c>
      <c r="B371" s="14"/>
      <c r="C371" s="14"/>
      <c r="D371" s="14"/>
      <c r="E371" s="14"/>
      <c r="F371" s="14"/>
    </row>
    <row r="372" spans="1:6" x14ac:dyDescent="0.3">
      <c r="A372" s="11" t="e">
        <f>IF(#REF!&gt;=4,#REF!,"")</f>
        <v>#REF!</v>
      </c>
      <c r="B372" s="8">
        <v>11010001</v>
      </c>
      <c r="C372" s="8" t="s">
        <v>64</v>
      </c>
      <c r="D372" s="13">
        <v>0</v>
      </c>
      <c r="E372" s="15" t="s">
        <v>65</v>
      </c>
      <c r="F372" s="16" t="e">
        <f>IF(#REF!&gt;=4,IFERROR(D372*_xlfn.SINGLE(_xlfn.XLOOKUP(B372,MA_ARTICULOS!$A:$A,MA_ARTICULOS!$E:$E,0)),""),"")</f>
        <v>#REF!</v>
      </c>
    </row>
    <row r="373" spans="1:6" x14ac:dyDescent="0.3">
      <c r="A373" s="11" t="e">
        <f>IF(#REF!&gt;=4,#REF!,"")</f>
        <v>#REF!</v>
      </c>
      <c r="B373" s="8">
        <v>11010002</v>
      </c>
      <c r="C373" s="8" t="s">
        <v>66</v>
      </c>
      <c r="D373" s="13">
        <v>0</v>
      </c>
      <c r="E373" s="15" t="s">
        <v>65</v>
      </c>
      <c r="F373" s="16" t="e">
        <f>IF(#REF!&gt;=4,IFERROR(D373*_xlfn.SINGLE(_xlfn.XLOOKUP(B373,MA_ARTICULOS!$A:$A,MA_ARTICULOS!$E:$E,0)),""),"")</f>
        <v>#REF!</v>
      </c>
    </row>
    <row r="374" spans="1:6" x14ac:dyDescent="0.3">
      <c r="A374" s="11" t="e">
        <f>IF(#REF!&gt;=4,#REF!,"")</f>
        <v>#REF!</v>
      </c>
      <c r="B374" s="8">
        <v>11010003</v>
      </c>
      <c r="C374" s="8" t="s">
        <v>67</v>
      </c>
      <c r="D374" s="13">
        <v>0</v>
      </c>
      <c r="E374" s="15" t="s">
        <v>65</v>
      </c>
      <c r="F374" s="16" t="e">
        <f>IF(#REF!&gt;=4,IFERROR(D374*_xlfn.SINGLE(_xlfn.XLOOKUP(B374,MA_ARTICULOS!$A:$A,MA_ARTICULOS!$E:$E,0)),""),"")</f>
        <v>#REF!</v>
      </c>
    </row>
    <row r="375" spans="1:6" x14ac:dyDescent="0.3">
      <c r="A375" s="11" t="e">
        <f>IF(#REF!&gt;=4,#REF!,"")</f>
        <v>#REF!</v>
      </c>
      <c r="B375" s="8">
        <v>11010004</v>
      </c>
      <c r="C375" s="8" t="s">
        <v>68</v>
      </c>
      <c r="D375" s="13">
        <v>0</v>
      </c>
      <c r="E375" s="15" t="s">
        <v>65</v>
      </c>
      <c r="F375" s="16" t="e">
        <f>IF(#REF!&gt;=4,IFERROR(D375*_xlfn.SINGLE(_xlfn.XLOOKUP(B375,MA_ARTICULOS!$A:$A,MA_ARTICULOS!$E:$E,0)),""),"")</f>
        <v>#REF!</v>
      </c>
    </row>
    <row r="376" spans="1:6" x14ac:dyDescent="0.3">
      <c r="A376" s="11" t="e">
        <f>IF(#REF!&gt;=4,#REF!,"")</f>
        <v>#REF!</v>
      </c>
      <c r="B376" s="8">
        <v>11010005</v>
      </c>
      <c r="C376" s="8" t="s">
        <v>69</v>
      </c>
      <c r="D376" s="13">
        <v>0</v>
      </c>
      <c r="E376" s="15" t="s">
        <v>65</v>
      </c>
      <c r="F376" s="16" t="e">
        <f>IF(#REF!&gt;=4,IFERROR(D376*_xlfn.SINGLE(_xlfn.XLOOKUP(B376,MA_ARTICULOS!$A:$A,MA_ARTICULOS!$E:$E,0)),""),"")</f>
        <v>#REF!</v>
      </c>
    </row>
    <row r="377" spans="1:6" x14ac:dyDescent="0.3">
      <c r="A377" s="11" t="e">
        <f>IF(#REF!&gt;=4,#REF!,"")</f>
        <v>#REF!</v>
      </c>
      <c r="B377" s="8">
        <v>11010007</v>
      </c>
      <c r="C377" s="8" t="s">
        <v>70</v>
      </c>
      <c r="D377" s="13">
        <v>0</v>
      </c>
      <c r="E377" s="15" t="s">
        <v>65</v>
      </c>
      <c r="F377" s="16" t="e">
        <f>IF(#REF!&gt;=4,IFERROR(D377*_xlfn.SINGLE(_xlfn.XLOOKUP(B377,MA_ARTICULOS!$A:$A,MA_ARTICULOS!$E:$E,0)),""),"")</f>
        <v>#REF!</v>
      </c>
    </row>
    <row r="378" spans="1:6" x14ac:dyDescent="0.3">
      <c r="A378" s="11" t="e">
        <f>IF(#REF!&gt;=4,#REF!,"")</f>
        <v>#REF!</v>
      </c>
      <c r="B378" s="8">
        <v>11010008</v>
      </c>
      <c r="C378" s="8" t="s">
        <v>71</v>
      </c>
      <c r="D378" s="13">
        <v>0</v>
      </c>
      <c r="E378" s="15" t="s">
        <v>65</v>
      </c>
      <c r="F378" s="16" t="e">
        <f>IF(#REF!&gt;=4,IFERROR(D378*_xlfn.SINGLE(_xlfn.XLOOKUP(B378,MA_ARTICULOS!$A:$A,MA_ARTICULOS!$E:$E,0)),""),"")</f>
        <v>#REF!</v>
      </c>
    </row>
    <row r="379" spans="1:6" x14ac:dyDescent="0.3">
      <c r="A379" s="11" t="e">
        <f>IF(#REF!&gt;=4,#REF!,"")</f>
        <v>#REF!</v>
      </c>
      <c r="B379" s="8">
        <v>11010009</v>
      </c>
      <c r="C379" s="8" t="s">
        <v>72</v>
      </c>
      <c r="D379" s="13">
        <v>0</v>
      </c>
      <c r="E379" s="15" t="s">
        <v>65</v>
      </c>
      <c r="F379" s="16" t="e">
        <f>IF(#REF!&gt;=4,IFERROR(D379*_xlfn.SINGLE(_xlfn.XLOOKUP(B379,MA_ARTICULOS!$A:$A,MA_ARTICULOS!$E:$E,0)),""),"")</f>
        <v>#REF!</v>
      </c>
    </row>
    <row r="380" spans="1:6" x14ac:dyDescent="0.3">
      <c r="A380" s="11" t="e">
        <f>IF(#REF!&gt;=4,#REF!,"")</f>
        <v>#REF!</v>
      </c>
      <c r="B380" s="8">
        <v>11010010</v>
      </c>
      <c r="C380" s="8" t="s">
        <v>73</v>
      </c>
      <c r="D380" s="13">
        <v>0</v>
      </c>
      <c r="E380" s="15" t="s">
        <v>65</v>
      </c>
      <c r="F380" s="16" t="e">
        <f>IF(#REF!&gt;=4,IFERROR(D380*_xlfn.SINGLE(_xlfn.XLOOKUP(B380,MA_ARTICULOS!$A:$A,MA_ARTICULOS!$E:$E,0)),""),"")</f>
        <v>#REF!</v>
      </c>
    </row>
    <row r="381" spans="1:6" x14ac:dyDescent="0.3">
      <c r="A381" s="11" t="e">
        <f>IF(#REF!&gt;=4,#REF!,"")</f>
        <v>#REF!</v>
      </c>
      <c r="B381" s="8">
        <v>11010011</v>
      </c>
      <c r="C381" s="8" t="s">
        <v>74</v>
      </c>
      <c r="D381" s="13">
        <v>0</v>
      </c>
      <c r="E381" s="15" t="s">
        <v>65</v>
      </c>
      <c r="F381" s="16" t="e">
        <f>IF(#REF!&gt;=4,IFERROR(D381*_xlfn.SINGLE(_xlfn.XLOOKUP(B381,MA_ARTICULOS!$A:$A,MA_ARTICULOS!$E:$E,0)),""),"")</f>
        <v>#REF!</v>
      </c>
    </row>
    <row r="382" spans="1:6" x14ac:dyDescent="0.3">
      <c r="A382" s="11" t="e">
        <f>IF(#REF!&gt;=4,#REF!,"")</f>
        <v>#REF!</v>
      </c>
      <c r="B382" s="8">
        <v>11010013</v>
      </c>
      <c r="C382" s="8" t="s">
        <v>75</v>
      </c>
      <c r="D382" s="13">
        <v>0</v>
      </c>
      <c r="E382" s="15" t="s">
        <v>65</v>
      </c>
      <c r="F382" s="16" t="e">
        <f>IF(#REF!&gt;=4,IFERROR(D382*_xlfn.SINGLE(_xlfn.XLOOKUP(B382,MA_ARTICULOS!$A:$A,MA_ARTICULOS!$E:$E,0)),""),"")</f>
        <v>#REF!</v>
      </c>
    </row>
    <row r="383" spans="1:6" x14ac:dyDescent="0.3">
      <c r="A383" s="11" t="e">
        <f>IF(#REF!&gt;=4,#REF!,"")</f>
        <v>#REF!</v>
      </c>
      <c r="B383" s="8">
        <v>11010014</v>
      </c>
      <c r="C383" s="8" t="s">
        <v>76</v>
      </c>
      <c r="D383" s="13">
        <v>0</v>
      </c>
      <c r="E383" s="15" t="s">
        <v>65</v>
      </c>
      <c r="F383" s="16" t="e">
        <f>IF(#REF!&gt;=4,IFERROR(D383*_xlfn.SINGLE(_xlfn.XLOOKUP(B383,MA_ARTICULOS!$A:$A,MA_ARTICULOS!$E:$E,0)),""),"")</f>
        <v>#REF!</v>
      </c>
    </row>
    <row r="384" spans="1:6" x14ac:dyDescent="0.3">
      <c r="A384" s="11" t="e">
        <f>IF(#REF!&gt;=4,#REF!,"")</f>
        <v>#REF!</v>
      </c>
      <c r="B384" s="8">
        <v>11010015</v>
      </c>
      <c r="C384" s="8" t="s">
        <v>77</v>
      </c>
      <c r="D384" s="13">
        <v>0</v>
      </c>
      <c r="E384" s="15" t="s">
        <v>65</v>
      </c>
      <c r="F384" s="16" t="e">
        <f>IF(#REF!&gt;=4,IFERROR(D384*_xlfn.SINGLE(_xlfn.XLOOKUP(B384,MA_ARTICULOS!$A:$A,MA_ARTICULOS!$E:$E,0)),""),"")</f>
        <v>#REF!</v>
      </c>
    </row>
    <row r="385" spans="1:6" x14ac:dyDescent="0.3">
      <c r="A385" s="11" t="e">
        <f>IF(#REF!&gt;=4,#REF!,"")</f>
        <v>#REF!</v>
      </c>
      <c r="B385" s="8">
        <v>11010018</v>
      </c>
      <c r="C385" s="8" t="s">
        <v>78</v>
      </c>
      <c r="D385" s="13">
        <v>0</v>
      </c>
      <c r="E385" s="15" t="s">
        <v>65</v>
      </c>
      <c r="F385" s="16" t="e">
        <f>IF(#REF!&gt;=4,IFERROR(D385*_xlfn.SINGLE(_xlfn.XLOOKUP(B385,MA_ARTICULOS!$A:$A,MA_ARTICULOS!$E:$E,0)),""),"")</f>
        <v>#REF!</v>
      </c>
    </row>
    <row r="386" spans="1:6" x14ac:dyDescent="0.3">
      <c r="A386" s="11" t="e">
        <f>IF(#REF!&gt;=4,#REF!,"")</f>
        <v>#REF!</v>
      </c>
      <c r="B386" s="8">
        <v>11010019</v>
      </c>
      <c r="C386" s="8" t="s">
        <v>79</v>
      </c>
      <c r="D386" s="13">
        <v>0</v>
      </c>
      <c r="E386" s="15" t="s">
        <v>65</v>
      </c>
      <c r="F386" s="16" t="e">
        <f>IF(#REF!&gt;=4,IFERROR(D386*_xlfn.SINGLE(_xlfn.XLOOKUP(B386,MA_ARTICULOS!$A:$A,MA_ARTICULOS!$E:$E,0)),""),"")</f>
        <v>#REF!</v>
      </c>
    </row>
    <row r="387" spans="1:6" x14ac:dyDescent="0.3">
      <c r="A387" s="11" t="e">
        <f>IF(#REF!&gt;=4,#REF!,"")</f>
        <v>#REF!</v>
      </c>
      <c r="B387" s="8">
        <v>11010020</v>
      </c>
      <c r="C387" s="8" t="s">
        <v>80</v>
      </c>
      <c r="D387" s="13">
        <v>0</v>
      </c>
      <c r="E387" s="15" t="s">
        <v>65</v>
      </c>
      <c r="F387" s="16" t="e">
        <f>IF(#REF!&gt;=4,IFERROR(D387*_xlfn.SINGLE(_xlfn.XLOOKUP(B387,MA_ARTICULOS!$A:$A,MA_ARTICULOS!$E:$E,0)),""),"")</f>
        <v>#REF!</v>
      </c>
    </row>
    <row r="388" spans="1:6" x14ac:dyDescent="0.3">
      <c r="A388" s="11" t="e">
        <f>IF(#REF!&gt;=4,#REF!,"")</f>
        <v>#REF!</v>
      </c>
      <c r="B388" s="8">
        <v>11010022</v>
      </c>
      <c r="C388" s="8" t="s">
        <v>81</v>
      </c>
      <c r="D388" s="13">
        <v>0</v>
      </c>
      <c r="E388" s="15" t="s">
        <v>65</v>
      </c>
      <c r="F388" s="16" t="e">
        <f>IF(#REF!&gt;=4,IFERROR(D388*_xlfn.SINGLE(_xlfn.XLOOKUP(B388,MA_ARTICULOS!$A:$A,MA_ARTICULOS!$E:$E,0)),""),"")</f>
        <v>#REF!</v>
      </c>
    </row>
    <row r="389" spans="1:6" x14ac:dyDescent="0.3">
      <c r="A389" s="11" t="e">
        <f>IF(#REF!&gt;=4,#REF!,"")</f>
        <v>#REF!</v>
      </c>
      <c r="B389" s="8">
        <v>11010023</v>
      </c>
      <c r="C389" s="8" t="s">
        <v>82</v>
      </c>
      <c r="D389" s="13">
        <v>0</v>
      </c>
      <c r="E389" s="15" t="s">
        <v>65</v>
      </c>
      <c r="F389" s="16" t="e">
        <f>IF(#REF!&gt;=4,IFERROR(D389*_xlfn.SINGLE(_xlfn.XLOOKUP(B389,MA_ARTICULOS!$A:$A,MA_ARTICULOS!$E:$E,0)),""),"")</f>
        <v>#REF!</v>
      </c>
    </row>
    <row r="390" spans="1:6" x14ac:dyDescent="0.3">
      <c r="A390" s="11" t="e">
        <f>IF(#REF!&gt;=4,#REF!,"")</f>
        <v>#REF!</v>
      </c>
      <c r="B390" s="8">
        <v>11010027</v>
      </c>
      <c r="C390" s="8" t="s">
        <v>83</v>
      </c>
      <c r="D390" s="13">
        <v>0</v>
      </c>
      <c r="E390" s="15" t="s">
        <v>65</v>
      </c>
      <c r="F390" s="16" t="e">
        <f>IF(#REF!&gt;=4,IFERROR(D390*_xlfn.SINGLE(_xlfn.XLOOKUP(B390,MA_ARTICULOS!$A:$A,MA_ARTICULOS!$E:$E,0)),""),"")</f>
        <v>#REF!</v>
      </c>
    </row>
    <row r="391" spans="1:6" x14ac:dyDescent="0.3">
      <c r="A391" s="11" t="e">
        <f>IF(#REF!&gt;=4,#REF!,"")</f>
        <v>#REF!</v>
      </c>
      <c r="B391" s="8">
        <v>11010201</v>
      </c>
      <c r="C391" s="8" t="s">
        <v>84</v>
      </c>
      <c r="D391" s="13">
        <v>0</v>
      </c>
      <c r="E391" s="15" t="s">
        <v>65</v>
      </c>
      <c r="F391" s="16" t="e">
        <f>IF(#REF!&gt;=4,IFERROR(D391*_xlfn.SINGLE(_xlfn.XLOOKUP(B391,MA_ARTICULOS!$A:$A,MA_ARTICULOS!$E:$E,0)),""),"")</f>
        <v>#REF!</v>
      </c>
    </row>
    <row r="392" spans="1:6" x14ac:dyDescent="0.3">
      <c r="A392" s="11" t="e">
        <f>IF(#REF!&gt;=4,#REF!,"")</f>
        <v>#REF!</v>
      </c>
      <c r="B392" s="8">
        <v>11010202</v>
      </c>
      <c r="C392" s="8" t="s">
        <v>85</v>
      </c>
      <c r="D392" s="13">
        <v>0</v>
      </c>
      <c r="E392" s="15" t="s">
        <v>65</v>
      </c>
      <c r="F392" s="16" t="e">
        <f>IF(#REF!&gt;=4,IFERROR(D392*_xlfn.SINGLE(_xlfn.XLOOKUP(B392,MA_ARTICULOS!$A:$A,MA_ARTICULOS!$E:$E,0)),""),"")</f>
        <v>#REF!</v>
      </c>
    </row>
    <row r="393" spans="1:6" x14ac:dyDescent="0.3">
      <c r="A393" s="11" t="e">
        <f>IF(#REF!&gt;=4,#REF!,"")</f>
        <v>#REF!</v>
      </c>
      <c r="B393" s="8">
        <v>11010203</v>
      </c>
      <c r="C393" s="8" t="s">
        <v>86</v>
      </c>
      <c r="D393" s="13">
        <v>0</v>
      </c>
      <c r="E393" s="15" t="s">
        <v>65</v>
      </c>
      <c r="F393" s="16" t="e">
        <f>IF(#REF!&gt;=4,IFERROR(D393*_xlfn.SINGLE(_xlfn.XLOOKUP(B393,MA_ARTICULOS!$A:$A,MA_ARTICULOS!$E:$E,0)),""),"")</f>
        <v>#REF!</v>
      </c>
    </row>
    <row r="394" spans="1:6" x14ac:dyDescent="0.3">
      <c r="A394" s="11" t="e">
        <f>IF(#REF!&gt;=4,#REF!,"")</f>
        <v>#REF!</v>
      </c>
      <c r="B394" s="8">
        <v>11010204</v>
      </c>
      <c r="C394" s="8" t="s">
        <v>87</v>
      </c>
      <c r="D394" s="13">
        <v>0</v>
      </c>
      <c r="E394" s="15" t="s">
        <v>65</v>
      </c>
      <c r="F394" s="16" t="e">
        <f>IF(#REF!&gt;=4,IFERROR(D394*_xlfn.SINGLE(_xlfn.XLOOKUP(B394,MA_ARTICULOS!$A:$A,MA_ARTICULOS!$E:$E,0)),""),"")</f>
        <v>#REF!</v>
      </c>
    </row>
    <row r="395" spans="1:6" x14ac:dyDescent="0.3">
      <c r="A395" s="11" t="e">
        <f>IF(#REF!&gt;=4,#REF!,"")</f>
        <v>#REF!</v>
      </c>
      <c r="B395" s="8">
        <v>11010301</v>
      </c>
      <c r="C395" s="8" t="s">
        <v>88</v>
      </c>
      <c r="D395" s="13">
        <v>0</v>
      </c>
      <c r="E395" s="15" t="s">
        <v>65</v>
      </c>
      <c r="F395" s="16" t="e">
        <f>IF(#REF!&gt;=4,IFERROR(D395*_xlfn.SINGLE(_xlfn.XLOOKUP(B395,MA_ARTICULOS!$A:$A,MA_ARTICULOS!$E:$E,0)),""),"")</f>
        <v>#REF!</v>
      </c>
    </row>
    <row r="396" spans="1:6" x14ac:dyDescent="0.3">
      <c r="A396" s="11" t="e">
        <f>IF(#REF!&gt;=4,#REF!,"")</f>
        <v>#REF!</v>
      </c>
      <c r="B396" s="8">
        <v>11010302</v>
      </c>
      <c r="C396" s="8" t="s">
        <v>89</v>
      </c>
      <c r="D396" s="13">
        <v>0</v>
      </c>
      <c r="E396" s="15" t="s">
        <v>65</v>
      </c>
      <c r="F396" s="16" t="e">
        <f>IF(#REF!&gt;=4,IFERROR(D396*_xlfn.SINGLE(_xlfn.XLOOKUP(B396,MA_ARTICULOS!$A:$A,MA_ARTICULOS!$E:$E,0)),""),"")</f>
        <v>#REF!</v>
      </c>
    </row>
    <row r="397" spans="1:6" x14ac:dyDescent="0.3">
      <c r="A397" s="11" t="e">
        <f>IF(#REF!&gt;=4,#REF!,"")</f>
        <v>#REF!</v>
      </c>
      <c r="B397" s="8">
        <v>11010303</v>
      </c>
      <c r="C397" s="8" t="s">
        <v>90</v>
      </c>
      <c r="D397" s="13">
        <v>0</v>
      </c>
      <c r="E397" s="15" t="s">
        <v>65</v>
      </c>
      <c r="F397" s="16" t="e">
        <f>IF(#REF!&gt;=4,IFERROR(D397*_xlfn.SINGLE(_xlfn.XLOOKUP(B397,MA_ARTICULOS!$A:$A,MA_ARTICULOS!$E:$E,0)),""),"")</f>
        <v>#REF!</v>
      </c>
    </row>
    <row r="398" spans="1:6" x14ac:dyDescent="0.3">
      <c r="A398" s="11" t="e">
        <f>IF(#REF!&gt;=4,#REF!,"")</f>
        <v>#REF!</v>
      </c>
      <c r="B398" s="8">
        <v>11010304</v>
      </c>
      <c r="C398" s="8" t="s">
        <v>91</v>
      </c>
      <c r="D398" s="13">
        <v>0</v>
      </c>
      <c r="E398" s="15" t="s">
        <v>65</v>
      </c>
      <c r="F398" s="16" t="e">
        <f>IF(#REF!&gt;=4,IFERROR(D398*_xlfn.SINGLE(_xlfn.XLOOKUP(B398,MA_ARTICULOS!$A:$A,MA_ARTICULOS!$E:$E,0)),""),"")</f>
        <v>#REF!</v>
      </c>
    </row>
    <row r="399" spans="1:6" x14ac:dyDescent="0.3">
      <c r="A399" s="11" t="e">
        <f>IF(#REF!&gt;=4,#REF!,"")</f>
        <v>#REF!</v>
      </c>
      <c r="B399" s="8">
        <v>11010305</v>
      </c>
      <c r="C399" s="8" t="s">
        <v>92</v>
      </c>
      <c r="D399" s="13">
        <v>0</v>
      </c>
      <c r="E399" s="15" t="s">
        <v>65</v>
      </c>
      <c r="F399" s="16" t="e">
        <f>IF(#REF!&gt;=4,IFERROR(D399*_xlfn.SINGLE(_xlfn.XLOOKUP(B399,MA_ARTICULOS!$A:$A,MA_ARTICULOS!$E:$E,0)),""),"")</f>
        <v>#REF!</v>
      </c>
    </row>
    <row r="400" spans="1:6" x14ac:dyDescent="0.3">
      <c r="A400" s="11" t="e">
        <f>IF(#REF!&gt;=4,#REF!,"")</f>
        <v>#REF!</v>
      </c>
      <c r="B400" s="8">
        <v>11010306</v>
      </c>
      <c r="C400" s="8" t="s">
        <v>93</v>
      </c>
      <c r="D400" s="13">
        <v>0</v>
      </c>
      <c r="E400" s="15" t="s">
        <v>65</v>
      </c>
      <c r="F400" s="16" t="e">
        <f>IF(#REF!&gt;=4,IFERROR(D400*_xlfn.SINGLE(_xlfn.XLOOKUP(B400,MA_ARTICULOS!$A:$A,MA_ARTICULOS!$E:$E,0)),""),"")</f>
        <v>#REF!</v>
      </c>
    </row>
    <row r="401" spans="1:6" x14ac:dyDescent="0.3">
      <c r="A401" s="11" t="e">
        <f>IF(#REF!&gt;=4,#REF!,"")</f>
        <v>#REF!</v>
      </c>
      <c r="B401" s="8">
        <v>11010307</v>
      </c>
      <c r="C401" s="8" t="s">
        <v>94</v>
      </c>
      <c r="D401" s="13">
        <v>0</v>
      </c>
      <c r="E401" s="15" t="s">
        <v>65</v>
      </c>
      <c r="F401" s="16" t="e">
        <f>IF(#REF!&gt;=4,IFERROR(D401*_xlfn.SINGLE(_xlfn.XLOOKUP(B401,MA_ARTICULOS!$A:$A,MA_ARTICULOS!$E:$E,0)),""),"")</f>
        <v>#REF!</v>
      </c>
    </row>
    <row r="402" spans="1:6" x14ac:dyDescent="0.3">
      <c r="A402" s="11" t="e">
        <f>IF(#REF!&gt;=4,#REF!,"")</f>
        <v>#REF!</v>
      </c>
      <c r="B402" s="8">
        <v>11010308</v>
      </c>
      <c r="C402" s="8" t="s">
        <v>95</v>
      </c>
      <c r="D402" s="13">
        <v>0</v>
      </c>
      <c r="E402" s="15" t="s">
        <v>65</v>
      </c>
      <c r="F402" s="16" t="e">
        <f>IF(#REF!&gt;=4,IFERROR(D402*_xlfn.SINGLE(_xlfn.XLOOKUP(B402,MA_ARTICULOS!$A:$A,MA_ARTICULOS!$E:$E,0)),""),"")</f>
        <v>#REF!</v>
      </c>
    </row>
    <row r="403" spans="1:6" x14ac:dyDescent="0.3">
      <c r="A403" s="11" t="e">
        <f>IF(#REF!&gt;=4,#REF!,"")</f>
        <v>#REF!</v>
      </c>
      <c r="B403" s="8">
        <v>11010309</v>
      </c>
      <c r="C403" s="8" t="s">
        <v>96</v>
      </c>
      <c r="D403" s="13">
        <v>0</v>
      </c>
      <c r="E403" s="15" t="s">
        <v>65</v>
      </c>
      <c r="F403" s="16" t="e">
        <f>IF(#REF!&gt;=4,IFERROR(D403*_xlfn.SINGLE(_xlfn.XLOOKUP(B403,MA_ARTICULOS!$A:$A,MA_ARTICULOS!$E:$E,0)),""),"")</f>
        <v>#REF!</v>
      </c>
    </row>
    <row r="404" spans="1:6" x14ac:dyDescent="0.3">
      <c r="A404" s="11" t="e">
        <f>IF(#REF!&gt;=4,#REF!,"")</f>
        <v>#REF!</v>
      </c>
      <c r="B404" s="8">
        <v>11020001</v>
      </c>
      <c r="C404" s="8" t="s">
        <v>97</v>
      </c>
      <c r="D404" s="13">
        <v>0</v>
      </c>
      <c r="E404" s="15" t="s">
        <v>65</v>
      </c>
      <c r="F404" s="16" t="e">
        <f>IF(#REF!&gt;=4,IFERROR(D404*_xlfn.SINGLE(_xlfn.XLOOKUP(B404,MA_ARTICULOS!$A:$A,MA_ARTICULOS!$E:$E,0)),""),"")</f>
        <v>#REF!</v>
      </c>
    </row>
    <row r="405" spans="1:6" x14ac:dyDescent="0.3">
      <c r="A405" s="11" t="e">
        <f>IF(#REF!&gt;=4,#REF!,"")</f>
        <v>#REF!</v>
      </c>
      <c r="B405" s="8">
        <v>11020002</v>
      </c>
      <c r="C405" s="8" t="s">
        <v>98</v>
      </c>
      <c r="D405" s="13">
        <v>0</v>
      </c>
      <c r="E405" s="15" t="s">
        <v>65</v>
      </c>
      <c r="F405" s="16" t="e">
        <f>IF(#REF!&gt;=4,IFERROR(D405*_xlfn.SINGLE(_xlfn.XLOOKUP(B405,MA_ARTICULOS!$A:$A,MA_ARTICULOS!$E:$E,0)),""),"")</f>
        <v>#REF!</v>
      </c>
    </row>
    <row r="406" spans="1:6" x14ac:dyDescent="0.3">
      <c r="A406" s="11" t="e">
        <f>IF(#REF!&gt;=4,#REF!,"")</f>
        <v>#REF!</v>
      </c>
      <c r="B406" s="8">
        <v>11020003</v>
      </c>
      <c r="C406" s="8" t="s">
        <v>99</v>
      </c>
      <c r="D406" s="13">
        <v>0</v>
      </c>
      <c r="E406" s="15" t="s">
        <v>65</v>
      </c>
      <c r="F406" s="16" t="e">
        <f>IF(#REF!&gt;=4,IFERROR(D406*_xlfn.SINGLE(_xlfn.XLOOKUP(B406,MA_ARTICULOS!$A:$A,MA_ARTICULOS!$E:$E,0)),""),"")</f>
        <v>#REF!</v>
      </c>
    </row>
    <row r="407" spans="1:6" x14ac:dyDescent="0.3">
      <c r="A407" s="11" t="e">
        <f>IF(#REF!&gt;=4,#REF!,"")</f>
        <v>#REF!</v>
      </c>
      <c r="B407" s="8">
        <v>11020004</v>
      </c>
      <c r="C407" s="8" t="s">
        <v>100</v>
      </c>
      <c r="D407" s="13">
        <v>0</v>
      </c>
      <c r="E407" s="15" t="s">
        <v>65</v>
      </c>
      <c r="F407" s="16" t="e">
        <f>IF(#REF!&gt;=4,IFERROR(D407*_xlfn.SINGLE(_xlfn.XLOOKUP(B407,MA_ARTICULOS!$A:$A,MA_ARTICULOS!$E:$E,0)),""),"")</f>
        <v>#REF!</v>
      </c>
    </row>
    <row r="408" spans="1:6" x14ac:dyDescent="0.3">
      <c r="A408" s="11" t="e">
        <f>IF(#REF!&gt;=4,#REF!,"")</f>
        <v>#REF!</v>
      </c>
      <c r="B408" s="8">
        <v>11020005</v>
      </c>
      <c r="C408" s="8" t="s">
        <v>101</v>
      </c>
      <c r="D408" s="13">
        <v>0</v>
      </c>
      <c r="E408" s="15" t="s">
        <v>65</v>
      </c>
      <c r="F408" s="16" t="e">
        <f>IF(#REF!&gt;=4,IFERROR(D408*_xlfn.SINGLE(_xlfn.XLOOKUP(B408,MA_ARTICULOS!$A:$A,MA_ARTICULOS!$E:$E,0)),""),"")</f>
        <v>#REF!</v>
      </c>
    </row>
    <row r="409" spans="1:6" x14ac:dyDescent="0.3">
      <c r="A409" s="11" t="e">
        <f>IF(#REF!&gt;=4,#REF!,"")</f>
        <v>#REF!</v>
      </c>
      <c r="B409" s="8">
        <v>11020006</v>
      </c>
      <c r="C409" s="8" t="s">
        <v>102</v>
      </c>
      <c r="D409" s="13">
        <v>0</v>
      </c>
      <c r="E409" s="15" t="s">
        <v>65</v>
      </c>
      <c r="F409" s="16" t="e">
        <f>IF(#REF!&gt;=4,IFERROR(D409*_xlfn.SINGLE(_xlfn.XLOOKUP(B409,MA_ARTICULOS!$A:$A,MA_ARTICULOS!$E:$E,0)),""),"")</f>
        <v>#REF!</v>
      </c>
    </row>
    <row r="410" spans="1:6" x14ac:dyDescent="0.3">
      <c r="A410" s="11" t="e">
        <f>IF(#REF!&gt;=4,#REF!,"")</f>
        <v>#REF!</v>
      </c>
      <c r="B410" s="8">
        <v>11020007</v>
      </c>
      <c r="C410" s="8" t="s">
        <v>103</v>
      </c>
      <c r="D410" s="13">
        <v>0</v>
      </c>
      <c r="E410" s="15" t="s">
        <v>65</v>
      </c>
      <c r="F410" s="16" t="e">
        <f>IF(#REF!&gt;=4,IFERROR(D410*_xlfn.SINGLE(_xlfn.XLOOKUP(B410,MA_ARTICULOS!$A:$A,MA_ARTICULOS!$E:$E,0)),""),"")</f>
        <v>#REF!</v>
      </c>
    </row>
    <row r="411" spans="1:6" x14ac:dyDescent="0.3">
      <c r="A411" s="11" t="e">
        <f>IF(#REF!&gt;=4,#REF!,"")</f>
        <v>#REF!</v>
      </c>
      <c r="B411" s="8">
        <v>11020008</v>
      </c>
      <c r="C411" s="8" t="s">
        <v>104</v>
      </c>
      <c r="D411" s="13">
        <v>0</v>
      </c>
      <c r="E411" s="15" t="s">
        <v>65</v>
      </c>
      <c r="F411" s="16" t="e">
        <f>IF(#REF!&gt;=4,IFERROR(D411*_xlfn.SINGLE(_xlfn.XLOOKUP(B411,MA_ARTICULOS!$A:$A,MA_ARTICULOS!$E:$E,0)),""),"")</f>
        <v>#REF!</v>
      </c>
    </row>
    <row r="412" spans="1:6" x14ac:dyDescent="0.3">
      <c r="A412" s="11" t="e">
        <f>IF(#REF!&gt;=4,#REF!,"")</f>
        <v>#REF!</v>
      </c>
      <c r="B412" s="8">
        <v>11020009</v>
      </c>
      <c r="C412" s="8" t="s">
        <v>105</v>
      </c>
      <c r="D412" s="13">
        <v>0</v>
      </c>
      <c r="E412" s="15" t="s">
        <v>65</v>
      </c>
      <c r="F412" s="16" t="e">
        <f>IF(#REF!&gt;=4,IFERROR(D412*_xlfn.SINGLE(_xlfn.XLOOKUP(B412,MA_ARTICULOS!$A:$A,MA_ARTICULOS!$E:$E,0)),""),"")</f>
        <v>#REF!</v>
      </c>
    </row>
    <row r="413" spans="1:6" x14ac:dyDescent="0.3">
      <c r="A413" s="11" t="e">
        <f>IF(#REF!&gt;=4,#REF!,"")</f>
        <v>#REF!</v>
      </c>
      <c r="B413" s="8">
        <v>11020010</v>
      </c>
      <c r="C413" s="8" t="s">
        <v>106</v>
      </c>
      <c r="D413" s="13">
        <v>0</v>
      </c>
      <c r="E413" s="15" t="s">
        <v>65</v>
      </c>
      <c r="F413" s="16" t="e">
        <f>IF(#REF!&gt;=4,IFERROR(D413*_xlfn.SINGLE(_xlfn.XLOOKUP(B413,MA_ARTICULOS!$A:$A,MA_ARTICULOS!$E:$E,0)),""),"")</f>
        <v>#REF!</v>
      </c>
    </row>
    <row r="414" spans="1:6" x14ac:dyDescent="0.3">
      <c r="A414" s="11" t="e">
        <f>IF(#REF!&gt;=4,#REF!,"")</f>
        <v>#REF!</v>
      </c>
      <c r="B414" s="8">
        <v>11020014</v>
      </c>
      <c r="C414" s="8" t="s">
        <v>107</v>
      </c>
      <c r="D414" s="13">
        <v>0</v>
      </c>
      <c r="E414" s="15" t="s">
        <v>65</v>
      </c>
      <c r="F414" s="16" t="e">
        <f>IF(#REF!&gt;=4,IFERROR(D414*_xlfn.SINGLE(_xlfn.XLOOKUP(B414,MA_ARTICULOS!$A:$A,MA_ARTICULOS!$E:$E,0)),""),"")</f>
        <v>#REF!</v>
      </c>
    </row>
    <row r="415" spans="1:6" x14ac:dyDescent="0.3">
      <c r="A415" s="11" t="e">
        <f>IF(#REF!&gt;=4,#REF!,"")</f>
        <v>#REF!</v>
      </c>
      <c r="B415" s="8">
        <v>11020015</v>
      </c>
      <c r="C415" s="8" t="s">
        <v>108</v>
      </c>
      <c r="D415" s="13">
        <v>0</v>
      </c>
      <c r="E415" s="15" t="s">
        <v>65</v>
      </c>
      <c r="F415" s="16" t="e">
        <f>IF(#REF!&gt;=4,IFERROR(D415*_xlfn.SINGLE(_xlfn.XLOOKUP(B415,MA_ARTICULOS!$A:$A,MA_ARTICULOS!$E:$E,0)),""),"")</f>
        <v>#REF!</v>
      </c>
    </row>
    <row r="416" spans="1:6" x14ac:dyDescent="0.3">
      <c r="A416" s="11" t="e">
        <f>IF(#REF!&gt;=4,#REF!,"")</f>
        <v>#REF!</v>
      </c>
      <c r="B416" s="8">
        <v>11020016</v>
      </c>
      <c r="C416" s="8" t="s">
        <v>109</v>
      </c>
      <c r="D416" s="13">
        <v>0</v>
      </c>
      <c r="E416" s="15" t="s">
        <v>65</v>
      </c>
      <c r="F416" s="16" t="e">
        <f>IF(#REF!&gt;=4,IFERROR(D416*_xlfn.SINGLE(_xlfn.XLOOKUP(B416,MA_ARTICULOS!$A:$A,MA_ARTICULOS!$E:$E,0)),""),"")</f>
        <v>#REF!</v>
      </c>
    </row>
    <row r="417" spans="1:6" x14ac:dyDescent="0.3">
      <c r="A417" s="11" t="e">
        <f>IF(#REF!&gt;=4,#REF!,"")</f>
        <v>#REF!</v>
      </c>
      <c r="B417" s="8">
        <v>12040001</v>
      </c>
      <c r="C417" s="8" t="s">
        <v>110</v>
      </c>
      <c r="D417" s="13">
        <v>0</v>
      </c>
      <c r="E417" s="15" t="s">
        <v>65</v>
      </c>
      <c r="F417" s="16" t="e">
        <f>IF(#REF!&gt;=4,IFERROR(D417*_xlfn.SINGLE(_xlfn.XLOOKUP(B417,MA_ARTICULOS!$A:$A,MA_ARTICULOS!$E:$E,0)),""),"")</f>
        <v>#REF!</v>
      </c>
    </row>
    <row r="418" spans="1:6" x14ac:dyDescent="0.3">
      <c r="A418" s="11" t="e">
        <f>IF(#REF!&gt;=4,#REF!,"")</f>
        <v>#REF!</v>
      </c>
      <c r="B418" s="8">
        <v>12040002</v>
      </c>
      <c r="C418" s="8" t="s">
        <v>111</v>
      </c>
      <c r="D418" s="13">
        <v>0</v>
      </c>
      <c r="E418" s="15" t="s">
        <v>65</v>
      </c>
      <c r="F418" s="16" t="e">
        <f>IF(#REF!&gt;=4,IFERROR(D418*_xlfn.SINGLE(_xlfn.XLOOKUP(B418,MA_ARTICULOS!$A:$A,MA_ARTICULOS!$E:$E,0)),""),"")</f>
        <v>#REF!</v>
      </c>
    </row>
    <row r="419" spans="1:6" x14ac:dyDescent="0.3">
      <c r="A419" s="11" t="e">
        <f>IF(#REF!&gt;=4,#REF!,"")</f>
        <v>#REF!</v>
      </c>
      <c r="B419" s="8">
        <v>12080001</v>
      </c>
      <c r="C419" s="8" t="s">
        <v>112</v>
      </c>
      <c r="D419" s="13">
        <v>0</v>
      </c>
      <c r="E419" s="15" t="s">
        <v>65</v>
      </c>
      <c r="F419" s="16" t="e">
        <f>IF(#REF!&gt;=4,IFERROR(D419*_xlfn.SINGLE(_xlfn.XLOOKUP(B419,MA_ARTICULOS!$A:$A,MA_ARTICULOS!$E:$E,0)),""),"")</f>
        <v>#REF!</v>
      </c>
    </row>
    <row r="420" spans="1:6" x14ac:dyDescent="0.3">
      <c r="A420" s="11" t="e">
        <f>IF(#REF!&gt;=4,#REF!,"")</f>
        <v>#REF!</v>
      </c>
      <c r="B420" s="8">
        <v>12080002</v>
      </c>
      <c r="C420" s="8" t="s">
        <v>113</v>
      </c>
      <c r="D420" s="13">
        <v>0</v>
      </c>
      <c r="E420" s="15" t="s">
        <v>65</v>
      </c>
      <c r="F420" s="16" t="e">
        <f>IF(#REF!&gt;=4,IFERROR(D420*_xlfn.SINGLE(_xlfn.XLOOKUP(B420,MA_ARTICULOS!$A:$A,MA_ARTICULOS!$E:$E,0)),""),"")</f>
        <v>#REF!</v>
      </c>
    </row>
    <row r="421" spans="1:6" x14ac:dyDescent="0.3">
      <c r="A421" s="11" t="e">
        <f>IF(#REF!&gt;=4,#REF!,"")</f>
        <v>#REF!</v>
      </c>
      <c r="B421" s="8">
        <v>12080003</v>
      </c>
      <c r="C421" s="8" t="s">
        <v>114</v>
      </c>
      <c r="D421" s="13">
        <v>0</v>
      </c>
      <c r="E421" s="15" t="s">
        <v>65</v>
      </c>
      <c r="F421" s="16" t="e">
        <f>IF(#REF!&gt;=4,IFERROR(D421*_xlfn.SINGLE(_xlfn.XLOOKUP(B421,MA_ARTICULOS!$A:$A,MA_ARTICULOS!$E:$E,0)),""),"")</f>
        <v>#REF!</v>
      </c>
    </row>
    <row r="422" spans="1:6" x14ac:dyDescent="0.3">
      <c r="A422" s="11" t="e">
        <f>IF(#REF!&gt;=4,#REF!,"")</f>
        <v>#REF!</v>
      </c>
      <c r="B422" s="8">
        <v>13010007</v>
      </c>
      <c r="C422" s="8" t="s">
        <v>115</v>
      </c>
      <c r="D422" s="13">
        <v>0</v>
      </c>
      <c r="E422" s="15" t="s">
        <v>65</v>
      </c>
      <c r="F422" s="16" t="e">
        <f>IF(#REF!&gt;=4,IFERROR(D422*_xlfn.SINGLE(_xlfn.XLOOKUP(B422,MA_ARTICULOS!$A:$A,MA_ARTICULOS!$E:$E,0)),""),"")</f>
        <v>#REF!</v>
      </c>
    </row>
    <row r="423" spans="1:6" x14ac:dyDescent="0.3">
      <c r="A423" s="11" t="e">
        <f>IF(#REF!&gt;=4,#REF!,"")</f>
        <v>#REF!</v>
      </c>
      <c r="B423" s="8">
        <v>13010008</v>
      </c>
      <c r="C423" s="8" t="s">
        <v>116</v>
      </c>
      <c r="D423" s="13">
        <v>0</v>
      </c>
      <c r="E423" s="15" t="s">
        <v>65</v>
      </c>
      <c r="F423" s="16" t="e">
        <f>IF(#REF!&gt;=4,IFERROR(D423*_xlfn.SINGLE(_xlfn.XLOOKUP(B423,MA_ARTICULOS!$A:$A,MA_ARTICULOS!$E:$E,0)),""),"")</f>
        <v>#REF!</v>
      </c>
    </row>
    <row r="424" spans="1:6" x14ac:dyDescent="0.3">
      <c r="A424" s="11" t="e">
        <f>IF(#REF!&gt;=4,#REF!,"")</f>
        <v>#REF!</v>
      </c>
      <c r="B424" s="8">
        <v>13019001</v>
      </c>
      <c r="C424" s="8" t="s">
        <v>117</v>
      </c>
      <c r="D424" s="13">
        <v>0</v>
      </c>
      <c r="E424" s="15" t="s">
        <v>65</v>
      </c>
      <c r="F424" s="16" t="e">
        <f>IF(#REF!&gt;=4,IFERROR(D424*_xlfn.SINGLE(_xlfn.XLOOKUP(B424,MA_ARTICULOS!$A:$A,MA_ARTICULOS!$E:$E,0)),""),"")</f>
        <v>#REF!</v>
      </c>
    </row>
    <row r="425" spans="1:6" x14ac:dyDescent="0.3">
      <c r="A425" s="11" t="e">
        <f>IF(#REF!&gt;=4,#REF!,"")</f>
        <v>#REF!</v>
      </c>
      <c r="B425" s="8">
        <v>13019002</v>
      </c>
      <c r="C425" s="8" t="s">
        <v>118</v>
      </c>
      <c r="D425" s="13">
        <v>0</v>
      </c>
      <c r="E425" s="15" t="s">
        <v>65</v>
      </c>
      <c r="F425" s="16" t="e">
        <f>IF(#REF!&gt;=4,IFERROR(D425*_xlfn.SINGLE(_xlfn.XLOOKUP(B425,MA_ARTICULOS!$A:$A,MA_ARTICULOS!$E:$E,0)),""),"")</f>
        <v>#REF!</v>
      </c>
    </row>
    <row r="426" spans="1:6" x14ac:dyDescent="0.3">
      <c r="A426" s="11" t="e">
        <f>IF(#REF!&gt;=4,#REF!,"")</f>
        <v>#REF!</v>
      </c>
      <c r="B426" s="8">
        <v>13019003</v>
      </c>
      <c r="C426" s="8" t="s">
        <v>119</v>
      </c>
      <c r="D426" s="13">
        <v>0</v>
      </c>
      <c r="E426" s="15" t="s">
        <v>65</v>
      </c>
      <c r="F426" s="16" t="e">
        <f>IF(#REF!&gt;=4,IFERROR(D426*_xlfn.SINGLE(_xlfn.XLOOKUP(B426,MA_ARTICULOS!$A:$A,MA_ARTICULOS!$E:$E,0)),""),"")</f>
        <v>#REF!</v>
      </c>
    </row>
    <row r="427" spans="1:6" x14ac:dyDescent="0.3">
      <c r="A427" s="11" t="e">
        <f>IF(#REF!&gt;=4,#REF!,"")</f>
        <v>#REF!</v>
      </c>
      <c r="B427" s="8">
        <v>13019004</v>
      </c>
      <c r="C427" s="8" t="s">
        <v>120</v>
      </c>
      <c r="D427" s="13">
        <v>0</v>
      </c>
      <c r="E427" s="15" t="s">
        <v>65</v>
      </c>
      <c r="F427" s="16" t="e">
        <f>IF(#REF!&gt;=4,IFERROR(D427*_xlfn.SINGLE(_xlfn.XLOOKUP(B427,MA_ARTICULOS!$A:$A,MA_ARTICULOS!$E:$E,0)),""),"")</f>
        <v>#REF!</v>
      </c>
    </row>
    <row r="428" spans="1:6" x14ac:dyDescent="0.3">
      <c r="A428" s="11" t="e">
        <f>IF(#REF!&gt;=4,#REF!,"")</f>
        <v>#REF!</v>
      </c>
      <c r="B428" s="8">
        <v>13019005</v>
      </c>
      <c r="C428" s="8" t="s">
        <v>121</v>
      </c>
      <c r="D428" s="13">
        <v>0</v>
      </c>
      <c r="E428" s="15" t="s">
        <v>65</v>
      </c>
      <c r="F428" s="16" t="e">
        <f>IF(#REF!&gt;=4,IFERROR(D428*_xlfn.SINGLE(_xlfn.XLOOKUP(B428,MA_ARTICULOS!$A:$A,MA_ARTICULOS!$E:$E,0)),""),"")</f>
        <v>#REF!</v>
      </c>
    </row>
    <row r="429" spans="1:6" x14ac:dyDescent="0.3">
      <c r="A429" s="11" t="e">
        <f>IF(#REF!&gt;=4,#REF!,"")</f>
        <v>#REF!</v>
      </c>
      <c r="B429" s="8">
        <v>13019007</v>
      </c>
      <c r="C429" s="8" t="s">
        <v>122</v>
      </c>
      <c r="D429" s="13">
        <v>0</v>
      </c>
      <c r="E429" s="15" t="s">
        <v>65</v>
      </c>
      <c r="F429" s="16" t="e">
        <f>IF(#REF!&gt;=4,IFERROR(D429*_xlfn.SINGLE(_xlfn.XLOOKUP(B429,MA_ARTICULOS!$A:$A,MA_ARTICULOS!$E:$E,0)),""),"")</f>
        <v>#REF!</v>
      </c>
    </row>
    <row r="430" spans="1:6" x14ac:dyDescent="0.3">
      <c r="A430" s="11" t="e">
        <f>IF(#REF!&gt;=4,#REF!,"")</f>
        <v>#REF!</v>
      </c>
      <c r="B430" s="8">
        <v>13019008</v>
      </c>
      <c r="C430" s="8" t="s">
        <v>123</v>
      </c>
      <c r="D430" s="13">
        <v>0</v>
      </c>
      <c r="E430" s="15" t="s">
        <v>65</v>
      </c>
      <c r="F430" s="16" t="e">
        <f>IF(#REF!&gt;=4,IFERROR(D430*_xlfn.SINGLE(_xlfn.XLOOKUP(B430,MA_ARTICULOS!$A:$A,MA_ARTICULOS!$E:$E,0)),""),"")</f>
        <v>#REF!</v>
      </c>
    </row>
    <row r="431" spans="1:6" x14ac:dyDescent="0.3">
      <c r="A431" s="11" t="e">
        <f>IF(#REF!&gt;=4,#REF!,"")</f>
        <v>#REF!</v>
      </c>
      <c r="B431" s="8">
        <v>13020004</v>
      </c>
      <c r="C431" s="8" t="s">
        <v>124</v>
      </c>
      <c r="D431" s="13">
        <v>0</v>
      </c>
      <c r="E431" s="15" t="s">
        <v>65</v>
      </c>
      <c r="F431" s="16" t="e">
        <f>IF(#REF!&gt;=4,IFERROR(D431*_xlfn.SINGLE(_xlfn.XLOOKUP(B431,MA_ARTICULOS!$A:$A,MA_ARTICULOS!$E:$E,0)),""),"")</f>
        <v>#REF!</v>
      </c>
    </row>
    <row r="432" spans="1:6" x14ac:dyDescent="0.3">
      <c r="A432" s="11" t="e">
        <f>IF(#REF!&gt;=4,#REF!,"")</f>
        <v>#REF!</v>
      </c>
      <c r="B432" s="8">
        <v>13020005</v>
      </c>
      <c r="C432" s="8" t="s">
        <v>125</v>
      </c>
      <c r="D432" s="13">
        <v>0</v>
      </c>
      <c r="E432" s="15" t="s">
        <v>65</v>
      </c>
      <c r="F432" s="16" t="e">
        <f>IF(#REF!&gt;=4,IFERROR(D432*_xlfn.SINGLE(_xlfn.XLOOKUP(B432,MA_ARTICULOS!$A:$A,MA_ARTICULOS!$E:$E,0)),""),"")</f>
        <v>#REF!</v>
      </c>
    </row>
    <row r="433" spans="1:6" x14ac:dyDescent="0.3">
      <c r="A433" s="11" t="e">
        <f>IF(#REF!&gt;=4,#REF!,"")</f>
        <v>#REF!</v>
      </c>
      <c r="B433" s="8">
        <v>13040001</v>
      </c>
      <c r="C433" s="8" t="s">
        <v>126</v>
      </c>
      <c r="D433" s="13">
        <v>0</v>
      </c>
      <c r="E433" s="15" t="s">
        <v>65</v>
      </c>
      <c r="F433" s="16" t="e">
        <f>IF(#REF!&gt;=4,IFERROR(D433*_xlfn.SINGLE(_xlfn.XLOOKUP(B433,MA_ARTICULOS!$A:$A,MA_ARTICULOS!$E:$E,0)),""),"")</f>
        <v>#REF!</v>
      </c>
    </row>
    <row r="434" spans="1:6" x14ac:dyDescent="0.3">
      <c r="A434" s="11" t="e">
        <f>IF(#REF!&gt;=4,#REF!,"")</f>
        <v>#REF!</v>
      </c>
      <c r="B434" s="8">
        <v>13040002</v>
      </c>
      <c r="C434" s="8" t="s">
        <v>127</v>
      </c>
      <c r="D434" s="13">
        <v>0</v>
      </c>
      <c r="E434" s="15" t="s">
        <v>65</v>
      </c>
      <c r="F434" s="16" t="e">
        <f>IF(#REF!&gt;=4,IFERROR(D434*_xlfn.SINGLE(_xlfn.XLOOKUP(B434,MA_ARTICULOS!$A:$A,MA_ARTICULOS!$E:$E,0)),""),"")</f>
        <v>#REF!</v>
      </c>
    </row>
    <row r="435" spans="1:6" x14ac:dyDescent="0.3">
      <c r="A435" s="11" t="e">
        <f>IF(#REF!&gt;=4,#REF!,"")</f>
        <v>#REF!</v>
      </c>
      <c r="B435" s="8">
        <v>13040003</v>
      </c>
      <c r="C435" s="8" t="s">
        <v>128</v>
      </c>
      <c r="D435" s="13">
        <v>0</v>
      </c>
      <c r="E435" s="15" t="s">
        <v>65</v>
      </c>
      <c r="F435" s="16" t="e">
        <f>IF(#REF!&gt;=4,IFERROR(D435*_xlfn.SINGLE(_xlfn.XLOOKUP(B435,MA_ARTICULOS!$A:$A,MA_ARTICULOS!$E:$E,0)),""),"")</f>
        <v>#REF!</v>
      </c>
    </row>
    <row r="436" spans="1:6" x14ac:dyDescent="0.3">
      <c r="A436" s="11" t="e">
        <f>IF(#REF!&gt;=4,#REF!,"")</f>
        <v>#REF!</v>
      </c>
      <c r="B436" s="8">
        <v>13040004</v>
      </c>
      <c r="C436" s="8" t="s">
        <v>129</v>
      </c>
      <c r="D436" s="13">
        <v>0</v>
      </c>
      <c r="E436" s="15" t="s">
        <v>65</v>
      </c>
      <c r="F436" s="16" t="e">
        <f>IF(#REF!&gt;=4,IFERROR(D436*_xlfn.SINGLE(_xlfn.XLOOKUP(B436,MA_ARTICULOS!$A:$A,MA_ARTICULOS!$E:$E,0)),""),"")</f>
        <v>#REF!</v>
      </c>
    </row>
    <row r="437" spans="1:6" x14ac:dyDescent="0.3">
      <c r="A437" s="11" t="e">
        <f>IF(#REF!&gt;=4,#REF!,"")</f>
        <v>#REF!</v>
      </c>
      <c r="B437" s="8">
        <v>13040005</v>
      </c>
      <c r="C437" s="8" t="s">
        <v>130</v>
      </c>
      <c r="D437" s="13">
        <v>0</v>
      </c>
      <c r="E437" s="15" t="s">
        <v>65</v>
      </c>
      <c r="F437" s="16" t="e">
        <f>IF(#REF!&gt;=4,IFERROR(D437*_xlfn.SINGLE(_xlfn.XLOOKUP(B437,MA_ARTICULOS!$A:$A,MA_ARTICULOS!$E:$E,0)),""),"")</f>
        <v>#REF!</v>
      </c>
    </row>
    <row r="438" spans="1:6" x14ac:dyDescent="0.3">
      <c r="A438" s="11" t="e">
        <f>IF(#REF!&gt;=4,#REF!,"")</f>
        <v>#REF!</v>
      </c>
      <c r="B438" s="8">
        <v>13040006</v>
      </c>
      <c r="C438" s="8" t="s">
        <v>131</v>
      </c>
      <c r="D438" s="13">
        <v>0</v>
      </c>
      <c r="E438" s="15" t="s">
        <v>65</v>
      </c>
      <c r="F438" s="16" t="e">
        <f>IF(#REF!&gt;=4,IFERROR(D438*_xlfn.SINGLE(_xlfn.XLOOKUP(B438,MA_ARTICULOS!$A:$A,MA_ARTICULOS!$E:$E,0)),""),"")</f>
        <v>#REF!</v>
      </c>
    </row>
    <row r="439" spans="1:6" x14ac:dyDescent="0.3">
      <c r="A439" s="11" t="e">
        <f>IF(#REF!&gt;=4,#REF!,"")</f>
        <v>#REF!</v>
      </c>
      <c r="B439" s="8">
        <v>13040007</v>
      </c>
      <c r="C439" s="8" t="s">
        <v>132</v>
      </c>
      <c r="D439" s="13">
        <v>0</v>
      </c>
      <c r="E439" s="15" t="s">
        <v>65</v>
      </c>
      <c r="F439" s="16" t="e">
        <f>IF(#REF!&gt;=4,IFERROR(D439*_xlfn.SINGLE(_xlfn.XLOOKUP(B439,MA_ARTICULOS!$A:$A,MA_ARTICULOS!$E:$E,0)),""),"")</f>
        <v>#REF!</v>
      </c>
    </row>
    <row r="440" spans="1:6" x14ac:dyDescent="0.3">
      <c r="A440" s="11" t="e">
        <f>IF(#REF!&gt;=4,#REF!,"")</f>
        <v>#REF!</v>
      </c>
      <c r="B440" s="8">
        <v>13040008</v>
      </c>
      <c r="C440" s="8" t="s">
        <v>133</v>
      </c>
      <c r="D440" s="13">
        <v>0</v>
      </c>
      <c r="E440" s="15" t="s">
        <v>65</v>
      </c>
      <c r="F440" s="16" t="e">
        <f>IF(#REF!&gt;=4,IFERROR(D440*_xlfn.SINGLE(_xlfn.XLOOKUP(B440,MA_ARTICULOS!$A:$A,MA_ARTICULOS!$E:$E,0)),""),"")</f>
        <v>#REF!</v>
      </c>
    </row>
    <row r="441" spans="1:6" x14ac:dyDescent="0.3">
      <c r="A441" s="11" t="e">
        <f>IF(#REF!&gt;=4,#REF!,"")</f>
        <v>#REF!</v>
      </c>
      <c r="B441" s="8">
        <v>13040009</v>
      </c>
      <c r="C441" s="8" t="s">
        <v>134</v>
      </c>
      <c r="D441" s="13">
        <v>0</v>
      </c>
      <c r="E441" s="15" t="s">
        <v>65</v>
      </c>
      <c r="F441" s="16" t="e">
        <f>IF(#REF!&gt;=4,IFERROR(D441*_xlfn.SINGLE(_xlfn.XLOOKUP(B441,MA_ARTICULOS!$A:$A,MA_ARTICULOS!$E:$E,0)),""),"")</f>
        <v>#REF!</v>
      </c>
    </row>
    <row r="442" spans="1:6" x14ac:dyDescent="0.3">
      <c r="A442" s="11" t="e">
        <f>IF(#REF!&gt;=4,#REF!,"")</f>
        <v>#REF!</v>
      </c>
      <c r="B442" s="8">
        <v>13040010</v>
      </c>
      <c r="C442" s="8" t="s">
        <v>135</v>
      </c>
      <c r="D442" s="13">
        <v>0</v>
      </c>
      <c r="E442" s="15" t="s">
        <v>65</v>
      </c>
      <c r="F442" s="16" t="e">
        <f>IF(#REF!&gt;=4,IFERROR(D442*_xlfn.SINGLE(_xlfn.XLOOKUP(B442,MA_ARTICULOS!$A:$A,MA_ARTICULOS!$E:$E,0)),""),"")</f>
        <v>#REF!</v>
      </c>
    </row>
    <row r="443" spans="1:6" x14ac:dyDescent="0.3">
      <c r="A443" s="11" t="e">
        <f>IF(#REF!&gt;=4,#REF!,"")</f>
        <v>#REF!</v>
      </c>
      <c r="B443" s="8">
        <v>13040011</v>
      </c>
      <c r="C443" s="8" t="s">
        <v>136</v>
      </c>
      <c r="D443" s="13">
        <v>0</v>
      </c>
      <c r="E443" s="15" t="s">
        <v>65</v>
      </c>
      <c r="F443" s="16" t="e">
        <f>IF(#REF!&gt;=4,IFERROR(D443*_xlfn.SINGLE(_xlfn.XLOOKUP(B443,MA_ARTICULOS!$A:$A,MA_ARTICULOS!$E:$E,0)),""),"")</f>
        <v>#REF!</v>
      </c>
    </row>
    <row r="444" spans="1:6" x14ac:dyDescent="0.3">
      <c r="A444" s="11" t="e">
        <f>IF(#REF!&gt;=4,#REF!,"")</f>
        <v>#REF!</v>
      </c>
      <c r="B444" s="8">
        <v>13040012</v>
      </c>
      <c r="C444" s="8" t="s">
        <v>137</v>
      </c>
      <c r="D444" s="13">
        <v>0</v>
      </c>
      <c r="E444" s="15" t="s">
        <v>65</v>
      </c>
      <c r="F444" s="16" t="e">
        <f>IF(#REF!&gt;=4,IFERROR(D444*_xlfn.SINGLE(_xlfn.XLOOKUP(B444,MA_ARTICULOS!$A:$A,MA_ARTICULOS!$E:$E,0)),""),"")</f>
        <v>#REF!</v>
      </c>
    </row>
    <row r="445" spans="1:6" x14ac:dyDescent="0.3">
      <c r="A445" s="11" t="e">
        <f>IF(#REF!&gt;=4,#REF!,"")</f>
        <v>#REF!</v>
      </c>
      <c r="B445" s="8">
        <v>13040013</v>
      </c>
      <c r="C445" s="8" t="s">
        <v>138</v>
      </c>
      <c r="D445" s="13">
        <v>0</v>
      </c>
      <c r="E445" s="15" t="s">
        <v>65</v>
      </c>
      <c r="F445" s="16" t="e">
        <f>IF(#REF!&gt;=4,IFERROR(D445*_xlfn.SINGLE(_xlfn.XLOOKUP(B445,MA_ARTICULOS!$A:$A,MA_ARTICULOS!$E:$E,0)),""),"")</f>
        <v>#REF!</v>
      </c>
    </row>
    <row r="446" spans="1:6" x14ac:dyDescent="0.3">
      <c r="A446" s="11" t="e">
        <f>IF(#REF!&gt;=4,#REF!,"")</f>
        <v>#REF!</v>
      </c>
      <c r="B446" s="8">
        <v>13040014</v>
      </c>
      <c r="C446" s="8" t="s">
        <v>139</v>
      </c>
      <c r="D446" s="13">
        <v>0</v>
      </c>
      <c r="E446" s="15" t="s">
        <v>65</v>
      </c>
      <c r="F446" s="16" t="e">
        <f>IF(#REF!&gt;=4,IFERROR(D446*_xlfn.SINGLE(_xlfn.XLOOKUP(B446,MA_ARTICULOS!$A:$A,MA_ARTICULOS!$E:$E,0)),""),"")</f>
        <v>#REF!</v>
      </c>
    </row>
    <row r="447" spans="1:6" x14ac:dyDescent="0.3">
      <c r="A447" s="11" t="e">
        <f>IF(#REF!&gt;=4,#REF!,"")</f>
        <v>#REF!</v>
      </c>
      <c r="B447" s="8">
        <v>13040015</v>
      </c>
      <c r="C447" s="8" t="s">
        <v>140</v>
      </c>
      <c r="D447" s="13">
        <v>0</v>
      </c>
      <c r="E447" s="15" t="s">
        <v>65</v>
      </c>
      <c r="F447" s="16" t="e">
        <f>IF(#REF!&gt;=4,IFERROR(D447*_xlfn.SINGLE(_xlfn.XLOOKUP(B447,MA_ARTICULOS!$A:$A,MA_ARTICULOS!$E:$E,0)),""),"")</f>
        <v>#REF!</v>
      </c>
    </row>
    <row r="448" spans="1:6" x14ac:dyDescent="0.3">
      <c r="A448" s="11" t="e">
        <f>IF(#REF!&gt;=4,#REF!,"")</f>
        <v>#REF!</v>
      </c>
      <c r="B448" s="8">
        <v>13040016</v>
      </c>
      <c r="C448" s="8" t="s">
        <v>141</v>
      </c>
      <c r="D448" s="13">
        <v>0</v>
      </c>
      <c r="E448" s="15" t="s">
        <v>65</v>
      </c>
      <c r="F448" s="16" t="e">
        <f>IF(#REF!&gt;=4,IFERROR(D448*_xlfn.SINGLE(_xlfn.XLOOKUP(B448,MA_ARTICULOS!$A:$A,MA_ARTICULOS!$E:$E,0)),""),"")</f>
        <v>#REF!</v>
      </c>
    </row>
    <row r="449" spans="1:6" x14ac:dyDescent="0.3">
      <c r="A449" s="11" t="e">
        <f>IF(#REF!&gt;=4,#REF!,"")</f>
        <v>#REF!</v>
      </c>
      <c r="B449" s="8">
        <v>13040017</v>
      </c>
      <c r="C449" s="8" t="s">
        <v>142</v>
      </c>
      <c r="D449" s="13">
        <v>0</v>
      </c>
      <c r="E449" s="15" t="s">
        <v>65</v>
      </c>
      <c r="F449" s="16" t="e">
        <f>IF(#REF!&gt;=4,IFERROR(D449*_xlfn.SINGLE(_xlfn.XLOOKUP(B449,MA_ARTICULOS!$A:$A,MA_ARTICULOS!$E:$E,0)),""),"")</f>
        <v>#REF!</v>
      </c>
    </row>
    <row r="450" spans="1:6" x14ac:dyDescent="0.3">
      <c r="A450" s="11" t="e">
        <f>IF(#REF!&gt;=4,#REF!,"")</f>
        <v>#REF!</v>
      </c>
      <c r="B450" s="8">
        <v>13040018</v>
      </c>
      <c r="C450" s="8" t="s">
        <v>143</v>
      </c>
      <c r="D450" s="13">
        <v>0</v>
      </c>
      <c r="E450" s="15" t="s">
        <v>65</v>
      </c>
      <c r="F450" s="16" t="e">
        <f>IF(#REF!&gt;=4,IFERROR(D450*_xlfn.SINGLE(_xlfn.XLOOKUP(B450,MA_ARTICULOS!$A:$A,MA_ARTICULOS!$E:$E,0)),""),"")</f>
        <v>#REF!</v>
      </c>
    </row>
    <row r="451" spans="1:6" x14ac:dyDescent="0.3">
      <c r="A451" s="11" t="e">
        <f>IF(#REF!&gt;=4,#REF!,"")</f>
        <v>#REF!</v>
      </c>
      <c r="B451" s="8">
        <v>13040101</v>
      </c>
      <c r="C451" s="8" t="s">
        <v>144</v>
      </c>
      <c r="D451" s="13">
        <v>0</v>
      </c>
      <c r="E451" s="15" t="s">
        <v>65</v>
      </c>
      <c r="F451" s="16" t="e">
        <f>IF(#REF!&gt;=4,IFERROR(D451*_xlfn.SINGLE(_xlfn.XLOOKUP(B451,MA_ARTICULOS!$A:$A,MA_ARTICULOS!$E:$E,0)),""),"")</f>
        <v>#REF!</v>
      </c>
    </row>
    <row r="452" spans="1:6" x14ac:dyDescent="0.3">
      <c r="A452" s="11" t="e">
        <f>IF(#REF!&gt;=4,#REF!,"")</f>
        <v>#REF!</v>
      </c>
      <c r="B452" s="8">
        <v>13040102</v>
      </c>
      <c r="C452" s="8" t="s">
        <v>145</v>
      </c>
      <c r="D452" s="13">
        <v>0</v>
      </c>
      <c r="E452" s="15" t="s">
        <v>65</v>
      </c>
      <c r="F452" s="16" t="e">
        <f>IF(#REF!&gt;=4,IFERROR(D452*_xlfn.SINGLE(_xlfn.XLOOKUP(B452,MA_ARTICULOS!$A:$A,MA_ARTICULOS!$E:$E,0)),""),"")</f>
        <v>#REF!</v>
      </c>
    </row>
    <row r="453" spans="1:6" x14ac:dyDescent="0.3">
      <c r="A453" s="11" t="e">
        <f>IF(#REF!&gt;=4,#REF!,"")</f>
        <v>#REF!</v>
      </c>
      <c r="B453" s="8">
        <v>13040103</v>
      </c>
      <c r="C453" s="8" t="s">
        <v>146</v>
      </c>
      <c r="D453" s="13">
        <v>0</v>
      </c>
      <c r="E453" s="15" t="s">
        <v>65</v>
      </c>
      <c r="F453" s="16" t="e">
        <f>IF(#REF!&gt;=4,IFERROR(D453*_xlfn.SINGLE(_xlfn.XLOOKUP(B453,MA_ARTICULOS!$A:$A,MA_ARTICULOS!$E:$E,0)),""),"")</f>
        <v>#REF!</v>
      </c>
    </row>
    <row r="454" spans="1:6" x14ac:dyDescent="0.3">
      <c r="A454" s="11" t="e">
        <f>IF(#REF!&gt;=4,#REF!,"")</f>
        <v>#REF!</v>
      </c>
      <c r="B454" s="8">
        <v>13050001</v>
      </c>
      <c r="C454" s="8" t="s">
        <v>147</v>
      </c>
      <c r="D454" s="13">
        <v>0</v>
      </c>
      <c r="E454" s="15" t="s">
        <v>65</v>
      </c>
      <c r="F454" s="16" t="e">
        <f>IF(#REF!&gt;=4,IFERROR(D454*_xlfn.SINGLE(_xlfn.XLOOKUP(B454,MA_ARTICULOS!$A:$A,MA_ARTICULOS!$E:$E,0)),""),"")</f>
        <v>#REF!</v>
      </c>
    </row>
    <row r="455" spans="1:6" x14ac:dyDescent="0.3">
      <c r="A455" s="11" t="e">
        <f>IF(#REF!&gt;=4,#REF!,"")</f>
        <v>#REF!</v>
      </c>
      <c r="B455" s="8">
        <v>13050002</v>
      </c>
      <c r="C455" s="8" t="s">
        <v>148</v>
      </c>
      <c r="D455" s="13">
        <v>0</v>
      </c>
      <c r="E455" s="15" t="s">
        <v>65</v>
      </c>
      <c r="F455" s="16" t="e">
        <f>IF(#REF!&gt;=4,IFERROR(D455*_xlfn.SINGLE(_xlfn.XLOOKUP(B455,MA_ARTICULOS!$A:$A,MA_ARTICULOS!$E:$E,0)),""),"")</f>
        <v>#REF!</v>
      </c>
    </row>
    <row r="456" spans="1:6" x14ac:dyDescent="0.3">
      <c r="A456" s="11" t="e">
        <f>IF(#REF!&gt;=4,#REF!,"")</f>
        <v>#REF!</v>
      </c>
      <c r="B456" s="8">
        <v>13050003</v>
      </c>
      <c r="C456" s="8" t="s">
        <v>149</v>
      </c>
      <c r="D456" s="13">
        <v>0</v>
      </c>
      <c r="E456" s="15" t="s">
        <v>65</v>
      </c>
      <c r="F456" s="16" t="e">
        <f>IF(#REF!&gt;=4,IFERROR(D456*_xlfn.SINGLE(_xlfn.XLOOKUP(B456,MA_ARTICULOS!$A:$A,MA_ARTICULOS!$E:$E,0)),""),"")</f>
        <v>#REF!</v>
      </c>
    </row>
    <row r="457" spans="1:6" x14ac:dyDescent="0.3">
      <c r="A457" s="11" t="e">
        <f>IF(#REF!&gt;=4,#REF!,"")</f>
        <v>#REF!</v>
      </c>
      <c r="B457" s="8">
        <v>13050004</v>
      </c>
      <c r="C457" s="8" t="s">
        <v>150</v>
      </c>
      <c r="D457" s="13">
        <v>0</v>
      </c>
      <c r="E457" s="15" t="s">
        <v>65</v>
      </c>
      <c r="F457" s="16" t="e">
        <f>IF(#REF!&gt;=4,IFERROR(D457*_xlfn.SINGLE(_xlfn.XLOOKUP(B457,MA_ARTICULOS!$A:$A,MA_ARTICULOS!$E:$E,0)),""),"")</f>
        <v>#REF!</v>
      </c>
    </row>
    <row r="458" spans="1:6" x14ac:dyDescent="0.3">
      <c r="A458" s="11" t="e">
        <f>IF(#REF!&gt;=4,#REF!,"")</f>
        <v>#REF!</v>
      </c>
      <c r="B458" s="8">
        <v>13050005</v>
      </c>
      <c r="C458" s="8" t="s">
        <v>151</v>
      </c>
      <c r="D458" s="13">
        <v>0</v>
      </c>
      <c r="E458" s="15" t="s">
        <v>65</v>
      </c>
      <c r="F458" s="16" t="e">
        <f>IF(#REF!&gt;=4,IFERROR(D458*_xlfn.SINGLE(_xlfn.XLOOKUP(B458,MA_ARTICULOS!$A:$A,MA_ARTICULOS!$E:$E,0)),""),"")</f>
        <v>#REF!</v>
      </c>
    </row>
    <row r="459" spans="1:6" x14ac:dyDescent="0.3">
      <c r="A459" s="11" t="e">
        <f>IF(#REF!&gt;=4,#REF!,"")</f>
        <v>#REF!</v>
      </c>
      <c r="B459" s="8">
        <v>13050006</v>
      </c>
      <c r="C459" s="8" t="s">
        <v>152</v>
      </c>
      <c r="D459" s="13">
        <v>0</v>
      </c>
      <c r="E459" s="15" t="s">
        <v>65</v>
      </c>
      <c r="F459" s="16" t="e">
        <f>IF(#REF!&gt;=4,IFERROR(D459*_xlfn.SINGLE(_xlfn.XLOOKUP(B459,MA_ARTICULOS!$A:$A,MA_ARTICULOS!$E:$E,0)),""),"")</f>
        <v>#REF!</v>
      </c>
    </row>
    <row r="460" spans="1:6" x14ac:dyDescent="0.3">
      <c r="A460" s="11" t="e">
        <f>IF(#REF!&gt;=4,#REF!,"")</f>
        <v>#REF!</v>
      </c>
      <c r="B460" s="8">
        <v>13050007</v>
      </c>
      <c r="C460" s="8" t="s">
        <v>153</v>
      </c>
      <c r="D460" s="13">
        <v>0</v>
      </c>
      <c r="E460" s="15" t="s">
        <v>65</v>
      </c>
      <c r="F460" s="16" t="e">
        <f>IF(#REF!&gt;=4,IFERROR(D460*_xlfn.SINGLE(_xlfn.XLOOKUP(B460,MA_ARTICULOS!$A:$A,MA_ARTICULOS!$E:$E,0)),""),"")</f>
        <v>#REF!</v>
      </c>
    </row>
    <row r="461" spans="1:6" x14ac:dyDescent="0.3">
      <c r="A461" s="11" t="e">
        <f>IF(#REF!&gt;=4,#REF!,"")</f>
        <v>#REF!</v>
      </c>
      <c r="B461" s="8">
        <v>13050008</v>
      </c>
      <c r="C461" s="8" t="s">
        <v>154</v>
      </c>
      <c r="D461" s="13">
        <v>0</v>
      </c>
      <c r="E461" s="15" t="s">
        <v>65</v>
      </c>
      <c r="F461" s="16" t="e">
        <f>IF(#REF!&gt;=4,IFERROR(D461*_xlfn.SINGLE(_xlfn.XLOOKUP(B461,MA_ARTICULOS!$A:$A,MA_ARTICULOS!$E:$E,0)),""),"")</f>
        <v>#REF!</v>
      </c>
    </row>
    <row r="462" spans="1:6" x14ac:dyDescent="0.3">
      <c r="A462" s="11" t="e">
        <f>IF(#REF!&gt;=4,#REF!,"")</f>
        <v>#REF!</v>
      </c>
      <c r="B462" s="8">
        <v>13089001</v>
      </c>
      <c r="C462" s="8" t="s">
        <v>155</v>
      </c>
      <c r="D462" s="13">
        <v>0</v>
      </c>
      <c r="E462" s="15" t="s">
        <v>65</v>
      </c>
      <c r="F462" s="16" t="e">
        <f>IF(#REF!&gt;=4,IFERROR(D462*_xlfn.SINGLE(_xlfn.XLOOKUP(B462,MA_ARTICULOS!$A:$A,MA_ARTICULOS!$E:$E,0)),""),"")</f>
        <v>#REF!</v>
      </c>
    </row>
    <row r="463" spans="1:6" x14ac:dyDescent="0.3">
      <c r="A463" s="11" t="e">
        <f>IF(#REF!&gt;=4,#REF!,"")</f>
        <v>#REF!</v>
      </c>
      <c r="B463" s="8">
        <v>13089002</v>
      </c>
      <c r="C463" s="8" t="s">
        <v>156</v>
      </c>
      <c r="D463" s="13">
        <v>0</v>
      </c>
      <c r="E463" s="15" t="s">
        <v>65</v>
      </c>
      <c r="F463" s="16" t="e">
        <f>IF(#REF!&gt;=4,IFERROR(D463*_xlfn.SINGLE(_xlfn.XLOOKUP(B463,MA_ARTICULOS!$A:$A,MA_ARTICULOS!$E:$E,0)),""),"")</f>
        <v>#REF!</v>
      </c>
    </row>
    <row r="464" spans="1:6" x14ac:dyDescent="0.3">
      <c r="A464" s="11" t="e">
        <f>IF(#REF!&gt;=4,#REF!,"")</f>
        <v>#REF!</v>
      </c>
      <c r="B464" s="8">
        <v>13089003</v>
      </c>
      <c r="C464" s="8" t="s">
        <v>157</v>
      </c>
      <c r="D464" s="13">
        <v>0</v>
      </c>
      <c r="E464" s="15" t="s">
        <v>65</v>
      </c>
      <c r="F464" s="16" t="e">
        <f>IF(#REF!&gt;=4,IFERROR(D464*_xlfn.SINGLE(_xlfn.XLOOKUP(B464,MA_ARTICULOS!$A:$A,MA_ARTICULOS!$E:$E,0)),""),"")</f>
        <v>#REF!</v>
      </c>
    </row>
    <row r="465" spans="1:6" x14ac:dyDescent="0.3">
      <c r="A465" s="11" t="e">
        <f>IF(#REF!&gt;=4,#REF!,"")</f>
        <v>#REF!</v>
      </c>
      <c r="B465" s="8">
        <v>13089004</v>
      </c>
      <c r="C465" s="8" t="s">
        <v>158</v>
      </c>
      <c r="D465" s="13">
        <v>0</v>
      </c>
      <c r="E465" s="15" t="s">
        <v>65</v>
      </c>
      <c r="F465" s="16" t="e">
        <f>IF(#REF!&gt;=4,IFERROR(D465*_xlfn.SINGLE(_xlfn.XLOOKUP(B465,MA_ARTICULOS!$A:$A,MA_ARTICULOS!$E:$E,0)),""),"")</f>
        <v>#REF!</v>
      </c>
    </row>
    <row r="466" spans="1:6" x14ac:dyDescent="0.3">
      <c r="A466" s="11" t="e">
        <f>IF(#REF!&gt;=4,#REF!,"")</f>
        <v>#REF!</v>
      </c>
      <c r="B466" s="8">
        <v>13089005</v>
      </c>
      <c r="C466" s="8" t="s">
        <v>159</v>
      </c>
      <c r="D466" s="13">
        <v>0</v>
      </c>
      <c r="E466" s="15" t="s">
        <v>65</v>
      </c>
      <c r="F466" s="16" t="e">
        <f>IF(#REF!&gt;=4,IFERROR(D466*_xlfn.SINGLE(_xlfn.XLOOKUP(B466,MA_ARTICULOS!$A:$A,MA_ARTICULOS!$E:$E,0)),""),"")</f>
        <v>#REF!</v>
      </c>
    </row>
    <row r="467" spans="1:6" x14ac:dyDescent="0.3">
      <c r="A467" s="11" t="e">
        <f>IF(#REF!&gt;=4,#REF!,"")</f>
        <v>#REF!</v>
      </c>
      <c r="B467" s="8">
        <v>13089006</v>
      </c>
      <c r="C467" s="8" t="s">
        <v>160</v>
      </c>
      <c r="D467" s="13">
        <v>0</v>
      </c>
      <c r="E467" s="15" t="s">
        <v>65</v>
      </c>
      <c r="F467" s="16" t="e">
        <f>IF(#REF!&gt;=4,IFERROR(D467*_xlfn.SINGLE(_xlfn.XLOOKUP(B467,MA_ARTICULOS!$A:$A,MA_ARTICULOS!$E:$E,0)),""),"")</f>
        <v>#REF!</v>
      </c>
    </row>
    <row r="468" spans="1:6" x14ac:dyDescent="0.3">
      <c r="A468" s="11" t="e">
        <f>IF(#REF!&gt;=4,#REF!,"")</f>
        <v>#REF!</v>
      </c>
      <c r="B468" s="8">
        <v>13089007</v>
      </c>
      <c r="C468" s="8" t="s">
        <v>161</v>
      </c>
      <c r="D468" s="13">
        <v>0</v>
      </c>
      <c r="E468" s="15" t="s">
        <v>65</v>
      </c>
      <c r="F468" s="16" t="e">
        <f>IF(#REF!&gt;=4,IFERROR(D468*_xlfn.SINGLE(_xlfn.XLOOKUP(B468,MA_ARTICULOS!$A:$A,MA_ARTICULOS!$E:$E,0)),""),"")</f>
        <v>#REF!</v>
      </c>
    </row>
    <row r="469" spans="1:6" x14ac:dyDescent="0.3">
      <c r="A469" s="11" t="e">
        <f>IF(#REF!&gt;=4,#REF!,"")</f>
        <v>#REF!</v>
      </c>
      <c r="B469" s="8">
        <v>13090001</v>
      </c>
      <c r="C469" s="8" t="s">
        <v>162</v>
      </c>
      <c r="D469" s="13">
        <v>0</v>
      </c>
      <c r="E469" s="15" t="s">
        <v>65</v>
      </c>
      <c r="F469" s="16" t="e">
        <f>IF(#REF!&gt;=4,IFERROR(D469*_xlfn.SINGLE(_xlfn.XLOOKUP(B469,MA_ARTICULOS!$A:$A,MA_ARTICULOS!$E:$E,0)),""),"")</f>
        <v>#REF!</v>
      </c>
    </row>
    <row r="470" spans="1:6" x14ac:dyDescent="0.3">
      <c r="A470" s="11" t="e">
        <f>IF(#REF!&gt;=4,#REF!,"")</f>
        <v>#REF!</v>
      </c>
      <c r="B470" s="8">
        <v>13090002</v>
      </c>
      <c r="C470" s="8" t="s">
        <v>163</v>
      </c>
      <c r="D470" s="13">
        <v>0</v>
      </c>
      <c r="E470" s="15" t="s">
        <v>65</v>
      </c>
      <c r="F470" s="16" t="e">
        <f>IF(#REF!&gt;=4,IFERROR(D470*_xlfn.SINGLE(_xlfn.XLOOKUP(B470,MA_ARTICULOS!$A:$A,MA_ARTICULOS!$E:$E,0)),""),"")</f>
        <v>#REF!</v>
      </c>
    </row>
    <row r="471" spans="1:6" x14ac:dyDescent="0.3">
      <c r="A471" s="11" t="e">
        <f>IF(#REF!&gt;=4,#REF!,"")</f>
        <v>#REF!</v>
      </c>
      <c r="B471" s="8">
        <v>13099001</v>
      </c>
      <c r="C471" s="8" t="s">
        <v>164</v>
      </c>
      <c r="D471" s="13">
        <v>0</v>
      </c>
      <c r="E471" s="15" t="s">
        <v>65</v>
      </c>
      <c r="F471" s="16" t="e">
        <f>IF(#REF!&gt;=4,IFERROR(D471*_xlfn.SINGLE(_xlfn.XLOOKUP(B471,MA_ARTICULOS!$A:$A,MA_ARTICULOS!$E:$E,0)),""),"")</f>
        <v>#REF!</v>
      </c>
    </row>
    <row r="472" spans="1:6" x14ac:dyDescent="0.3">
      <c r="A472" s="11" t="e">
        <f>IF(#REF!&gt;=4,#REF!,"")</f>
        <v>#REF!</v>
      </c>
      <c r="B472" s="8">
        <v>13099002</v>
      </c>
      <c r="C472" s="8" t="s">
        <v>165</v>
      </c>
      <c r="D472" s="13">
        <v>0</v>
      </c>
      <c r="E472" s="15" t="s">
        <v>65</v>
      </c>
      <c r="F472" s="16" t="e">
        <f>IF(#REF!&gt;=4,IFERROR(D472*_xlfn.SINGLE(_xlfn.XLOOKUP(B472,MA_ARTICULOS!$A:$A,MA_ARTICULOS!$E:$E,0)),""),"")</f>
        <v>#REF!</v>
      </c>
    </row>
    <row r="473" spans="1:6" x14ac:dyDescent="0.3">
      <c r="A473" s="11" t="e">
        <f>IF(#REF!&gt;=4,#REF!,"")</f>
        <v>#REF!</v>
      </c>
      <c r="B473" s="8">
        <v>13110001</v>
      </c>
      <c r="C473" s="8" t="s">
        <v>166</v>
      </c>
      <c r="D473" s="13">
        <v>0</v>
      </c>
      <c r="E473" s="15" t="s">
        <v>65</v>
      </c>
      <c r="F473" s="16" t="e">
        <f>IF(#REF!&gt;=4,IFERROR(D473*_xlfn.SINGLE(_xlfn.XLOOKUP(B473,MA_ARTICULOS!$A:$A,MA_ARTICULOS!$E:$E,0)),""),"")</f>
        <v>#REF!</v>
      </c>
    </row>
    <row r="474" spans="1:6" x14ac:dyDescent="0.3">
      <c r="A474" s="11" t="e">
        <f>IF(#REF!&gt;=4,#REF!,"")</f>
        <v>#REF!</v>
      </c>
      <c r="B474" s="8">
        <v>13110002</v>
      </c>
      <c r="C474" s="8" t="s">
        <v>167</v>
      </c>
      <c r="D474" s="13">
        <v>0</v>
      </c>
      <c r="E474" s="15" t="s">
        <v>65</v>
      </c>
      <c r="F474" s="16" t="e">
        <f>IF(#REF!&gt;=4,IFERROR(D474*_xlfn.SINGLE(_xlfn.XLOOKUP(B474,MA_ARTICULOS!$A:$A,MA_ARTICULOS!$E:$E,0)),""),"")</f>
        <v>#REF!</v>
      </c>
    </row>
    <row r="475" spans="1:6" x14ac:dyDescent="0.3">
      <c r="A475" s="11" t="e">
        <f>IF(#REF!&gt;=4,#REF!,"")</f>
        <v>#REF!</v>
      </c>
      <c r="B475" s="8">
        <v>13110003</v>
      </c>
      <c r="C475" s="8" t="s">
        <v>168</v>
      </c>
      <c r="D475" s="13">
        <v>0</v>
      </c>
      <c r="E475" s="15" t="s">
        <v>65</v>
      </c>
      <c r="F475" s="16" t="e">
        <f>IF(#REF!&gt;=4,IFERROR(D475*_xlfn.SINGLE(_xlfn.XLOOKUP(B475,MA_ARTICULOS!$A:$A,MA_ARTICULOS!$E:$E,0)),""),"")</f>
        <v>#REF!</v>
      </c>
    </row>
    <row r="476" spans="1:6" x14ac:dyDescent="0.3">
      <c r="A476" s="11" t="e">
        <f>IF(#REF!&gt;=4,#REF!,"")</f>
        <v>#REF!</v>
      </c>
      <c r="B476" s="8">
        <v>13110004</v>
      </c>
      <c r="C476" s="8" t="s">
        <v>169</v>
      </c>
      <c r="D476" s="13">
        <v>0</v>
      </c>
      <c r="E476" s="15" t="s">
        <v>65</v>
      </c>
      <c r="F476" s="16" t="e">
        <f>IF(#REF!&gt;=4,IFERROR(D476*_xlfn.SINGLE(_xlfn.XLOOKUP(B476,MA_ARTICULOS!$A:$A,MA_ARTICULOS!$E:$E,0)),""),"")</f>
        <v>#REF!</v>
      </c>
    </row>
    <row r="477" spans="1:6" x14ac:dyDescent="0.3">
      <c r="A477" s="11" t="e">
        <f>IF(#REF!&gt;=4,#REF!,"")</f>
        <v>#REF!</v>
      </c>
      <c r="B477" s="8">
        <v>13130001</v>
      </c>
      <c r="C477" s="8" t="s">
        <v>170</v>
      </c>
      <c r="D477" s="13">
        <v>0</v>
      </c>
      <c r="E477" s="15" t="s">
        <v>65</v>
      </c>
      <c r="F477" s="16" t="e">
        <f>IF(#REF!&gt;=4,IFERROR(D477*_xlfn.SINGLE(_xlfn.XLOOKUP(B477,MA_ARTICULOS!$A:$A,MA_ARTICULOS!$E:$E,0)),""),"")</f>
        <v>#REF!</v>
      </c>
    </row>
    <row r="478" spans="1:6" x14ac:dyDescent="0.3">
      <c r="A478" s="11" t="e">
        <f>IF(#REF!&gt;=4,#REF!,"")</f>
        <v>#REF!</v>
      </c>
      <c r="B478" s="8">
        <v>13130002</v>
      </c>
      <c r="C478" s="8" t="s">
        <v>171</v>
      </c>
      <c r="D478" s="13">
        <v>0</v>
      </c>
      <c r="E478" s="15" t="s">
        <v>65</v>
      </c>
      <c r="F478" s="16" t="e">
        <f>IF(#REF!&gt;=4,IFERROR(D478*_xlfn.SINGLE(_xlfn.XLOOKUP(B478,MA_ARTICULOS!$A:$A,MA_ARTICULOS!$E:$E,0)),""),"")</f>
        <v>#REF!</v>
      </c>
    </row>
    <row r="479" spans="1:6" x14ac:dyDescent="0.3">
      <c r="A479" s="11" t="e">
        <f>IF(#REF!&gt;=4,#REF!,"")</f>
        <v>#REF!</v>
      </c>
      <c r="B479" s="8">
        <v>13130003</v>
      </c>
      <c r="C479" s="8" t="s">
        <v>172</v>
      </c>
      <c r="D479" s="13">
        <v>0</v>
      </c>
      <c r="E479" s="15" t="s">
        <v>65</v>
      </c>
      <c r="F479" s="16" t="e">
        <f>IF(#REF!&gt;=4,IFERROR(D479*_xlfn.SINGLE(_xlfn.XLOOKUP(B479,MA_ARTICULOS!$A:$A,MA_ARTICULOS!$E:$E,0)),""),"")</f>
        <v>#REF!</v>
      </c>
    </row>
    <row r="480" spans="1:6" x14ac:dyDescent="0.3">
      <c r="A480" s="11" t="e">
        <f>IF(#REF!&gt;=4,#REF!,"")</f>
        <v>#REF!</v>
      </c>
      <c r="B480" s="8">
        <v>23080001</v>
      </c>
      <c r="C480" s="8" t="s">
        <v>173</v>
      </c>
      <c r="D480" s="13">
        <v>0</v>
      </c>
      <c r="E480" s="15" t="s">
        <v>65</v>
      </c>
      <c r="F480" s="16" t="e">
        <f>IF(#REF!&gt;=4,IFERROR(D480*_xlfn.SINGLE(_xlfn.XLOOKUP(B480,MA_ARTICULOS!$A:$A,MA_ARTICULOS!$E:$E,0)),""),"")</f>
        <v>#REF!</v>
      </c>
    </row>
    <row r="481" spans="1:6" x14ac:dyDescent="0.3">
      <c r="A481" s="11" t="e">
        <f>IF(#REF!&gt;=4,#REF!,"")</f>
        <v>#REF!</v>
      </c>
      <c r="B481" s="8">
        <v>23080002</v>
      </c>
      <c r="C481" s="8" t="s">
        <v>174</v>
      </c>
      <c r="D481" s="13">
        <v>0</v>
      </c>
      <c r="E481" s="15" t="s">
        <v>65</v>
      </c>
      <c r="F481" s="16" t="e">
        <f>IF(#REF!&gt;=4,IFERROR(D481*_xlfn.SINGLE(_xlfn.XLOOKUP(B481,MA_ARTICULOS!$A:$A,MA_ARTICULOS!$E:$E,0)),""),"")</f>
        <v>#REF!</v>
      </c>
    </row>
    <row r="482" spans="1:6" x14ac:dyDescent="0.3">
      <c r="A482" s="11" t="e">
        <f>IF(#REF!&gt;=4,#REF!,"")</f>
        <v>#REF!</v>
      </c>
      <c r="B482" s="8">
        <v>23080003</v>
      </c>
      <c r="C482" s="8" t="s">
        <v>175</v>
      </c>
      <c r="D482" s="13">
        <v>0</v>
      </c>
      <c r="E482" s="15" t="s">
        <v>65</v>
      </c>
      <c r="F482" s="16" t="e">
        <f>IF(#REF!&gt;=4,IFERROR(D482*_xlfn.SINGLE(_xlfn.XLOOKUP(B482,MA_ARTICULOS!$A:$A,MA_ARTICULOS!$E:$E,0)),""),"")</f>
        <v>#REF!</v>
      </c>
    </row>
    <row r="483" spans="1:6" x14ac:dyDescent="0.3">
      <c r="A483" s="11" t="e">
        <f>IF(#REF!&gt;=4,#REF!,"")</f>
        <v>#REF!</v>
      </c>
      <c r="B483" s="8">
        <v>23080004</v>
      </c>
      <c r="C483" s="8" t="s">
        <v>176</v>
      </c>
      <c r="D483" s="13">
        <v>0</v>
      </c>
      <c r="E483" s="15" t="s">
        <v>65</v>
      </c>
      <c r="F483" s="16" t="e">
        <f>IF(#REF!&gt;=4,IFERROR(D483*_xlfn.SINGLE(_xlfn.XLOOKUP(B483,MA_ARTICULOS!$A:$A,MA_ARTICULOS!$E:$E,0)),""),"")</f>
        <v>#REF!</v>
      </c>
    </row>
    <row r="484" spans="1:6" x14ac:dyDescent="0.3">
      <c r="A484" s="11" t="e">
        <f>IF(#REF!&gt;=4,#REF!,"")</f>
        <v>#REF!</v>
      </c>
      <c r="B484" s="8">
        <v>23080005</v>
      </c>
      <c r="C484" s="8" t="s">
        <v>177</v>
      </c>
      <c r="D484" s="13">
        <v>0</v>
      </c>
      <c r="E484" s="15" t="s">
        <v>65</v>
      </c>
      <c r="F484" s="16" t="e">
        <f>IF(#REF!&gt;=4,IFERROR(D484*_xlfn.SINGLE(_xlfn.XLOOKUP(B484,MA_ARTICULOS!$A:$A,MA_ARTICULOS!$E:$E,0)),""),"")</f>
        <v>#REF!</v>
      </c>
    </row>
    <row r="485" spans="1:6" x14ac:dyDescent="0.3">
      <c r="A485" s="11" t="e">
        <f>IF(#REF!&gt;=4,#REF!,"")</f>
        <v>#REF!</v>
      </c>
      <c r="B485" s="8">
        <v>23080006</v>
      </c>
      <c r="C485" s="8" t="s">
        <v>178</v>
      </c>
      <c r="D485" s="13">
        <v>0</v>
      </c>
      <c r="E485" s="15" t="s">
        <v>65</v>
      </c>
      <c r="F485" s="16" t="e">
        <f>IF(#REF!&gt;=4,IFERROR(D485*_xlfn.SINGLE(_xlfn.XLOOKUP(B485,MA_ARTICULOS!$A:$A,MA_ARTICULOS!$E:$E,0)),""),"")</f>
        <v>#REF!</v>
      </c>
    </row>
    <row r="486" spans="1:6" x14ac:dyDescent="0.3">
      <c r="A486" s="11" t="e">
        <f>IF(#REF!&gt;=4,#REF!,"")</f>
        <v>#REF!</v>
      </c>
      <c r="B486" s="8">
        <v>23080007</v>
      </c>
      <c r="C486" s="8" t="s">
        <v>179</v>
      </c>
      <c r="D486" s="13">
        <v>0</v>
      </c>
      <c r="E486" s="15" t="s">
        <v>65</v>
      </c>
      <c r="F486" s="16" t="e">
        <f>IF(#REF!&gt;=4,IFERROR(D486*_xlfn.SINGLE(_xlfn.XLOOKUP(B486,MA_ARTICULOS!$A:$A,MA_ARTICULOS!$E:$E,0)),""),"")</f>
        <v>#REF!</v>
      </c>
    </row>
    <row r="487" spans="1:6" x14ac:dyDescent="0.3">
      <c r="A487" s="11" t="e">
        <f>IF(#REF!&gt;=4,#REF!,"")</f>
        <v>#REF!</v>
      </c>
      <c r="B487" s="8">
        <v>101</v>
      </c>
      <c r="C487" s="8" t="s">
        <v>180</v>
      </c>
      <c r="D487" s="13">
        <v>0</v>
      </c>
      <c r="E487" s="15" t="s">
        <v>65</v>
      </c>
      <c r="F487" s="16" t="e">
        <f>IF(#REF!&gt;=4,IFERROR(D487*_xlfn.SINGLE(_xlfn.XLOOKUP(B487,MA_ARTICULOS!$A:$A,MA_ARTICULOS!$E:$E,0)),""),"")</f>
        <v>#REF!</v>
      </c>
    </row>
    <row r="488" spans="1:6" x14ac:dyDescent="0.3">
      <c r="A488" s="11" t="e">
        <f>IF(#REF!&gt;=4,#REF!,"")</f>
        <v>#REF!</v>
      </c>
      <c r="B488" s="8">
        <v>102</v>
      </c>
      <c r="C488" s="8" t="s">
        <v>181</v>
      </c>
      <c r="D488" s="13">
        <v>0</v>
      </c>
      <c r="E488" s="15" t="s">
        <v>65</v>
      </c>
      <c r="F488" s="16" t="e">
        <f>IF(#REF!&gt;=4,IFERROR(D488*_xlfn.SINGLE(_xlfn.XLOOKUP(B488,MA_ARTICULOS!$A:$A,MA_ARTICULOS!$E:$E,0)),""),"")</f>
        <v>#REF!</v>
      </c>
    </row>
    <row r="489" spans="1:6" x14ac:dyDescent="0.3">
      <c r="A489" s="11" t="e">
        <f>IF(#REF!&gt;=4,#REF!,"")</f>
        <v>#REF!</v>
      </c>
      <c r="B489" s="8">
        <v>104</v>
      </c>
      <c r="C489" s="8" t="s">
        <v>182</v>
      </c>
      <c r="D489" s="13">
        <v>0</v>
      </c>
      <c r="E489" s="15" t="s">
        <v>65</v>
      </c>
      <c r="F489" s="16" t="e">
        <f>IF(#REF!&gt;=4,IFERROR(D489*_xlfn.SINGLE(_xlfn.XLOOKUP(B489,MA_ARTICULOS!$A:$A,MA_ARTICULOS!$E:$E,0)),""),"")</f>
        <v>#REF!</v>
      </c>
    </row>
    <row r="490" spans="1:6" x14ac:dyDescent="0.3">
      <c r="A490" s="11" t="e">
        <f>IF(#REF!&gt;=4,#REF!,"")</f>
        <v>#REF!</v>
      </c>
      <c r="B490" s="8">
        <v>105</v>
      </c>
      <c r="C490" s="8" t="s">
        <v>183</v>
      </c>
      <c r="D490" s="13">
        <v>0</v>
      </c>
      <c r="E490" s="15" t="s">
        <v>65</v>
      </c>
      <c r="F490" s="16" t="e">
        <f>IF(#REF!&gt;=4,IFERROR(D490*_xlfn.SINGLE(_xlfn.XLOOKUP(B490,MA_ARTICULOS!$A:$A,MA_ARTICULOS!$E:$E,0)),""),"")</f>
        <v>#REF!</v>
      </c>
    </row>
    <row r="491" spans="1:6" x14ac:dyDescent="0.3">
      <c r="A491" s="11" t="e">
        <f>IF(#REF!&gt;=4,#REF!,"")</f>
        <v>#REF!</v>
      </c>
      <c r="B491" s="8">
        <v>106</v>
      </c>
      <c r="C491" s="8" t="s">
        <v>184</v>
      </c>
      <c r="D491" s="13">
        <v>0</v>
      </c>
      <c r="E491" s="15" t="s">
        <v>65</v>
      </c>
      <c r="F491" s="16" t="e">
        <f>IF(#REF!&gt;=4,IFERROR(D491*_xlfn.SINGLE(_xlfn.XLOOKUP(B491,MA_ARTICULOS!$A:$A,MA_ARTICULOS!$E:$E,0)),""),"")</f>
        <v>#REF!</v>
      </c>
    </row>
    <row r="492" spans="1:6" x14ac:dyDescent="0.3">
      <c r="A492" s="11" t="e">
        <f>IF(#REF!&gt;=4,#REF!,"")</f>
        <v>#REF!</v>
      </c>
      <c r="B492" s="8">
        <v>120</v>
      </c>
      <c r="C492" s="8" t="s">
        <v>185</v>
      </c>
      <c r="D492" s="13">
        <v>0</v>
      </c>
      <c r="E492" s="15" t="s">
        <v>65</v>
      </c>
      <c r="F492" s="16" t="e">
        <f>IF(#REF!&gt;=4,IFERROR(D492*_xlfn.SINGLE(_xlfn.XLOOKUP(B492,MA_ARTICULOS!$A:$A,MA_ARTICULOS!$E:$E,0)),""),"")</f>
        <v>#REF!</v>
      </c>
    </row>
    <row r="493" spans="1:6" x14ac:dyDescent="0.3">
      <c r="A493" s="11" t="e">
        <f>IF(#REF!&gt;=4,#REF!,"")</f>
        <v>#REF!</v>
      </c>
      <c r="B493" s="8">
        <v>121</v>
      </c>
      <c r="C493" s="8" t="s">
        <v>186</v>
      </c>
      <c r="D493" s="13">
        <v>0</v>
      </c>
      <c r="E493" s="15" t="s">
        <v>65</v>
      </c>
      <c r="F493" s="16" t="e">
        <f>IF(#REF!&gt;=4,IFERROR(D493*_xlfn.SINGLE(_xlfn.XLOOKUP(B493,MA_ARTICULOS!$A:$A,MA_ARTICULOS!$E:$E,0)),""),"")</f>
        <v>#REF!</v>
      </c>
    </row>
    <row r="494" spans="1:6" x14ac:dyDescent="0.3">
      <c r="A494" s="18" t="s">
        <v>215</v>
      </c>
      <c r="B494" s="14"/>
      <c r="C494" s="14"/>
      <c r="D494" s="14"/>
      <c r="E494" s="14"/>
      <c r="F494" s="14"/>
    </row>
    <row r="495" spans="1:6" x14ac:dyDescent="0.3">
      <c r="A495" s="11" t="e">
        <f>IF(#REF!&gt;=5,#REF!,"")</f>
        <v>#REF!</v>
      </c>
      <c r="B495" s="8">
        <v>11010001</v>
      </c>
      <c r="C495" s="8" t="s">
        <v>64</v>
      </c>
      <c r="D495" s="13">
        <v>0</v>
      </c>
      <c r="E495" s="15" t="s">
        <v>65</v>
      </c>
      <c r="F495" s="16" t="e">
        <f>IF(#REF!&gt;=5,IFERROR(D495*_xlfn.SINGLE(_xlfn.XLOOKUP(B495,MA_ARTICULOS!$A:$A,MA_ARTICULOS!$E:$E,0)),""),"")</f>
        <v>#REF!</v>
      </c>
    </row>
    <row r="496" spans="1:6" x14ac:dyDescent="0.3">
      <c r="A496" s="11" t="e">
        <f>IF(#REF!&gt;=5,#REF!,"")</f>
        <v>#REF!</v>
      </c>
      <c r="B496" s="8">
        <v>11010002</v>
      </c>
      <c r="C496" s="8" t="s">
        <v>66</v>
      </c>
      <c r="D496" s="13">
        <v>0</v>
      </c>
      <c r="E496" s="15" t="s">
        <v>65</v>
      </c>
      <c r="F496" s="16" t="e">
        <f>IF(#REF!&gt;=5,IFERROR(D496*_xlfn.SINGLE(_xlfn.XLOOKUP(B496,MA_ARTICULOS!$A:$A,MA_ARTICULOS!$E:$E,0)),""),"")</f>
        <v>#REF!</v>
      </c>
    </row>
    <row r="497" spans="1:6" x14ac:dyDescent="0.3">
      <c r="A497" s="11" t="e">
        <f>IF(#REF!&gt;=5,#REF!,"")</f>
        <v>#REF!</v>
      </c>
      <c r="B497" s="8">
        <v>11010003</v>
      </c>
      <c r="C497" s="8" t="s">
        <v>67</v>
      </c>
      <c r="D497" s="13">
        <v>0</v>
      </c>
      <c r="E497" s="15" t="s">
        <v>65</v>
      </c>
      <c r="F497" s="16" t="e">
        <f>IF(#REF!&gt;=5,IFERROR(D497*_xlfn.SINGLE(_xlfn.XLOOKUP(B497,MA_ARTICULOS!$A:$A,MA_ARTICULOS!$E:$E,0)),""),"")</f>
        <v>#REF!</v>
      </c>
    </row>
    <row r="498" spans="1:6" x14ac:dyDescent="0.3">
      <c r="A498" s="11" t="e">
        <f>IF(#REF!&gt;=5,#REF!,"")</f>
        <v>#REF!</v>
      </c>
      <c r="B498" s="8">
        <v>11010004</v>
      </c>
      <c r="C498" s="8" t="s">
        <v>68</v>
      </c>
      <c r="D498" s="13">
        <v>0</v>
      </c>
      <c r="E498" s="15" t="s">
        <v>65</v>
      </c>
      <c r="F498" s="16" t="e">
        <f>IF(#REF!&gt;=5,IFERROR(D498*_xlfn.SINGLE(_xlfn.XLOOKUP(B498,MA_ARTICULOS!$A:$A,MA_ARTICULOS!$E:$E,0)),""),"")</f>
        <v>#REF!</v>
      </c>
    </row>
    <row r="499" spans="1:6" x14ac:dyDescent="0.3">
      <c r="A499" s="11" t="e">
        <f>IF(#REF!&gt;=5,#REF!,"")</f>
        <v>#REF!</v>
      </c>
      <c r="B499" s="8">
        <v>11010005</v>
      </c>
      <c r="C499" s="8" t="s">
        <v>69</v>
      </c>
      <c r="D499" s="13">
        <v>0</v>
      </c>
      <c r="E499" s="15" t="s">
        <v>65</v>
      </c>
      <c r="F499" s="16" t="e">
        <f>IF(#REF!&gt;=5,IFERROR(D499*_xlfn.SINGLE(_xlfn.XLOOKUP(B499,MA_ARTICULOS!$A:$A,MA_ARTICULOS!$E:$E,0)),""),"")</f>
        <v>#REF!</v>
      </c>
    </row>
    <row r="500" spans="1:6" x14ac:dyDescent="0.3">
      <c r="A500" s="11" t="e">
        <f>IF(#REF!&gt;=5,#REF!,"")</f>
        <v>#REF!</v>
      </c>
      <c r="B500" s="8">
        <v>11010007</v>
      </c>
      <c r="C500" s="8" t="s">
        <v>70</v>
      </c>
      <c r="D500" s="13">
        <v>0</v>
      </c>
      <c r="E500" s="15" t="s">
        <v>65</v>
      </c>
      <c r="F500" s="16" t="e">
        <f>IF(#REF!&gt;=5,IFERROR(D500*_xlfn.SINGLE(_xlfn.XLOOKUP(B500,MA_ARTICULOS!$A:$A,MA_ARTICULOS!$E:$E,0)),""),"")</f>
        <v>#REF!</v>
      </c>
    </row>
    <row r="501" spans="1:6" x14ac:dyDescent="0.3">
      <c r="A501" s="11" t="e">
        <f>IF(#REF!&gt;=5,#REF!,"")</f>
        <v>#REF!</v>
      </c>
      <c r="B501" s="8">
        <v>11010008</v>
      </c>
      <c r="C501" s="8" t="s">
        <v>71</v>
      </c>
      <c r="D501" s="13">
        <v>0</v>
      </c>
      <c r="E501" s="15" t="s">
        <v>65</v>
      </c>
      <c r="F501" s="16" t="e">
        <f>IF(#REF!&gt;=5,IFERROR(D501*_xlfn.SINGLE(_xlfn.XLOOKUP(B501,MA_ARTICULOS!$A:$A,MA_ARTICULOS!$E:$E,0)),""),"")</f>
        <v>#REF!</v>
      </c>
    </row>
    <row r="502" spans="1:6" x14ac:dyDescent="0.3">
      <c r="A502" s="11" t="e">
        <f>IF(#REF!&gt;=5,#REF!,"")</f>
        <v>#REF!</v>
      </c>
      <c r="B502" s="8">
        <v>11010009</v>
      </c>
      <c r="C502" s="8" t="s">
        <v>72</v>
      </c>
      <c r="D502" s="13">
        <v>0</v>
      </c>
      <c r="E502" s="15" t="s">
        <v>65</v>
      </c>
      <c r="F502" s="16" t="e">
        <f>IF(#REF!&gt;=5,IFERROR(D502*_xlfn.SINGLE(_xlfn.XLOOKUP(B502,MA_ARTICULOS!$A:$A,MA_ARTICULOS!$E:$E,0)),""),"")</f>
        <v>#REF!</v>
      </c>
    </row>
    <row r="503" spans="1:6" x14ac:dyDescent="0.3">
      <c r="A503" s="11" t="e">
        <f>IF(#REF!&gt;=5,#REF!,"")</f>
        <v>#REF!</v>
      </c>
      <c r="B503" s="8">
        <v>11010010</v>
      </c>
      <c r="C503" s="8" t="s">
        <v>73</v>
      </c>
      <c r="D503" s="13">
        <v>0</v>
      </c>
      <c r="E503" s="15" t="s">
        <v>65</v>
      </c>
      <c r="F503" s="16" t="e">
        <f>IF(#REF!&gt;=5,IFERROR(D503*_xlfn.SINGLE(_xlfn.XLOOKUP(B503,MA_ARTICULOS!$A:$A,MA_ARTICULOS!$E:$E,0)),""),"")</f>
        <v>#REF!</v>
      </c>
    </row>
    <row r="504" spans="1:6" x14ac:dyDescent="0.3">
      <c r="A504" s="11" t="e">
        <f>IF(#REF!&gt;=5,#REF!,"")</f>
        <v>#REF!</v>
      </c>
      <c r="B504" s="8">
        <v>11010011</v>
      </c>
      <c r="C504" s="8" t="s">
        <v>74</v>
      </c>
      <c r="D504" s="13">
        <v>0</v>
      </c>
      <c r="E504" s="15" t="s">
        <v>65</v>
      </c>
      <c r="F504" s="16" t="e">
        <f>IF(#REF!&gt;=5,IFERROR(D504*_xlfn.SINGLE(_xlfn.XLOOKUP(B504,MA_ARTICULOS!$A:$A,MA_ARTICULOS!$E:$E,0)),""),"")</f>
        <v>#REF!</v>
      </c>
    </row>
    <row r="505" spans="1:6" x14ac:dyDescent="0.3">
      <c r="A505" s="11" t="e">
        <f>IF(#REF!&gt;=5,#REF!,"")</f>
        <v>#REF!</v>
      </c>
      <c r="B505" s="8">
        <v>11010013</v>
      </c>
      <c r="C505" s="8" t="s">
        <v>75</v>
      </c>
      <c r="D505" s="13">
        <v>0</v>
      </c>
      <c r="E505" s="15" t="s">
        <v>65</v>
      </c>
      <c r="F505" s="16" t="e">
        <f>IF(#REF!&gt;=5,IFERROR(D505*_xlfn.SINGLE(_xlfn.XLOOKUP(B505,MA_ARTICULOS!$A:$A,MA_ARTICULOS!$E:$E,0)),""),"")</f>
        <v>#REF!</v>
      </c>
    </row>
    <row r="506" spans="1:6" x14ac:dyDescent="0.3">
      <c r="A506" s="11" t="e">
        <f>IF(#REF!&gt;=5,#REF!,"")</f>
        <v>#REF!</v>
      </c>
      <c r="B506" s="8">
        <v>11010014</v>
      </c>
      <c r="C506" s="8" t="s">
        <v>76</v>
      </c>
      <c r="D506" s="13">
        <v>0</v>
      </c>
      <c r="E506" s="15" t="s">
        <v>65</v>
      </c>
      <c r="F506" s="16" t="e">
        <f>IF(#REF!&gt;=5,IFERROR(D506*_xlfn.SINGLE(_xlfn.XLOOKUP(B506,MA_ARTICULOS!$A:$A,MA_ARTICULOS!$E:$E,0)),""),"")</f>
        <v>#REF!</v>
      </c>
    </row>
    <row r="507" spans="1:6" x14ac:dyDescent="0.3">
      <c r="A507" s="11" t="e">
        <f>IF(#REF!&gt;=5,#REF!,"")</f>
        <v>#REF!</v>
      </c>
      <c r="B507" s="8">
        <v>11010015</v>
      </c>
      <c r="C507" s="8" t="s">
        <v>77</v>
      </c>
      <c r="D507" s="13">
        <v>0</v>
      </c>
      <c r="E507" s="15" t="s">
        <v>65</v>
      </c>
      <c r="F507" s="16" t="e">
        <f>IF(#REF!&gt;=5,IFERROR(D507*_xlfn.SINGLE(_xlfn.XLOOKUP(B507,MA_ARTICULOS!$A:$A,MA_ARTICULOS!$E:$E,0)),""),"")</f>
        <v>#REF!</v>
      </c>
    </row>
    <row r="508" spans="1:6" x14ac:dyDescent="0.3">
      <c r="A508" s="11" t="e">
        <f>IF(#REF!&gt;=5,#REF!,"")</f>
        <v>#REF!</v>
      </c>
      <c r="B508" s="8">
        <v>11010018</v>
      </c>
      <c r="C508" s="8" t="s">
        <v>78</v>
      </c>
      <c r="D508" s="13">
        <v>0</v>
      </c>
      <c r="E508" s="15" t="s">
        <v>65</v>
      </c>
      <c r="F508" s="16" t="e">
        <f>IF(#REF!&gt;=5,IFERROR(D508*_xlfn.SINGLE(_xlfn.XLOOKUP(B508,MA_ARTICULOS!$A:$A,MA_ARTICULOS!$E:$E,0)),""),"")</f>
        <v>#REF!</v>
      </c>
    </row>
    <row r="509" spans="1:6" x14ac:dyDescent="0.3">
      <c r="A509" s="11" t="e">
        <f>IF(#REF!&gt;=5,#REF!,"")</f>
        <v>#REF!</v>
      </c>
      <c r="B509" s="8">
        <v>11010019</v>
      </c>
      <c r="C509" s="8" t="s">
        <v>79</v>
      </c>
      <c r="D509" s="13">
        <v>0</v>
      </c>
      <c r="E509" s="15" t="s">
        <v>65</v>
      </c>
      <c r="F509" s="16" t="e">
        <f>IF(#REF!&gt;=5,IFERROR(D509*_xlfn.SINGLE(_xlfn.XLOOKUP(B509,MA_ARTICULOS!$A:$A,MA_ARTICULOS!$E:$E,0)),""),"")</f>
        <v>#REF!</v>
      </c>
    </row>
    <row r="510" spans="1:6" x14ac:dyDescent="0.3">
      <c r="A510" s="11" t="e">
        <f>IF(#REF!&gt;=5,#REF!,"")</f>
        <v>#REF!</v>
      </c>
      <c r="B510" s="8">
        <v>11010020</v>
      </c>
      <c r="C510" s="8" t="s">
        <v>80</v>
      </c>
      <c r="D510" s="13">
        <v>0</v>
      </c>
      <c r="E510" s="15" t="s">
        <v>65</v>
      </c>
      <c r="F510" s="16" t="e">
        <f>IF(#REF!&gt;=5,IFERROR(D510*_xlfn.SINGLE(_xlfn.XLOOKUP(B510,MA_ARTICULOS!$A:$A,MA_ARTICULOS!$E:$E,0)),""),"")</f>
        <v>#REF!</v>
      </c>
    </row>
    <row r="511" spans="1:6" x14ac:dyDescent="0.3">
      <c r="A511" s="11" t="e">
        <f>IF(#REF!&gt;=5,#REF!,"")</f>
        <v>#REF!</v>
      </c>
      <c r="B511" s="8">
        <v>11010022</v>
      </c>
      <c r="C511" s="8" t="s">
        <v>81</v>
      </c>
      <c r="D511" s="13">
        <v>0</v>
      </c>
      <c r="E511" s="15" t="s">
        <v>65</v>
      </c>
      <c r="F511" s="16" t="e">
        <f>IF(#REF!&gt;=5,IFERROR(D511*_xlfn.SINGLE(_xlfn.XLOOKUP(B511,MA_ARTICULOS!$A:$A,MA_ARTICULOS!$E:$E,0)),""),"")</f>
        <v>#REF!</v>
      </c>
    </row>
    <row r="512" spans="1:6" x14ac:dyDescent="0.3">
      <c r="A512" s="11" t="e">
        <f>IF(#REF!&gt;=5,#REF!,"")</f>
        <v>#REF!</v>
      </c>
      <c r="B512" s="8">
        <v>11010023</v>
      </c>
      <c r="C512" s="8" t="s">
        <v>82</v>
      </c>
      <c r="D512" s="13">
        <v>0</v>
      </c>
      <c r="E512" s="15" t="s">
        <v>65</v>
      </c>
      <c r="F512" s="16" t="e">
        <f>IF(#REF!&gt;=5,IFERROR(D512*_xlfn.SINGLE(_xlfn.XLOOKUP(B512,MA_ARTICULOS!$A:$A,MA_ARTICULOS!$E:$E,0)),""),"")</f>
        <v>#REF!</v>
      </c>
    </row>
    <row r="513" spans="1:6" x14ac:dyDescent="0.3">
      <c r="A513" s="11" t="e">
        <f>IF(#REF!&gt;=5,#REF!,"")</f>
        <v>#REF!</v>
      </c>
      <c r="B513" s="8">
        <v>11010027</v>
      </c>
      <c r="C513" s="8" t="s">
        <v>83</v>
      </c>
      <c r="D513" s="13">
        <v>0</v>
      </c>
      <c r="E513" s="15" t="s">
        <v>65</v>
      </c>
      <c r="F513" s="16" t="e">
        <f>IF(#REF!&gt;=5,IFERROR(D513*_xlfn.SINGLE(_xlfn.XLOOKUP(B513,MA_ARTICULOS!$A:$A,MA_ARTICULOS!$E:$E,0)),""),"")</f>
        <v>#REF!</v>
      </c>
    </row>
    <row r="514" spans="1:6" x14ac:dyDescent="0.3">
      <c r="A514" s="11" t="e">
        <f>IF(#REF!&gt;=5,#REF!,"")</f>
        <v>#REF!</v>
      </c>
      <c r="B514" s="8">
        <v>11010201</v>
      </c>
      <c r="C514" s="8" t="s">
        <v>84</v>
      </c>
      <c r="D514" s="13">
        <v>0</v>
      </c>
      <c r="E514" s="15" t="s">
        <v>65</v>
      </c>
      <c r="F514" s="16" t="e">
        <f>IF(#REF!&gt;=5,IFERROR(D514*_xlfn.SINGLE(_xlfn.XLOOKUP(B514,MA_ARTICULOS!$A:$A,MA_ARTICULOS!$E:$E,0)),""),"")</f>
        <v>#REF!</v>
      </c>
    </row>
    <row r="515" spans="1:6" x14ac:dyDescent="0.3">
      <c r="A515" s="11" t="e">
        <f>IF(#REF!&gt;=5,#REF!,"")</f>
        <v>#REF!</v>
      </c>
      <c r="B515" s="8">
        <v>11010202</v>
      </c>
      <c r="C515" s="8" t="s">
        <v>85</v>
      </c>
      <c r="D515" s="13">
        <v>0</v>
      </c>
      <c r="E515" s="15" t="s">
        <v>65</v>
      </c>
      <c r="F515" s="16" t="e">
        <f>IF(#REF!&gt;=5,IFERROR(D515*_xlfn.SINGLE(_xlfn.XLOOKUP(B515,MA_ARTICULOS!$A:$A,MA_ARTICULOS!$E:$E,0)),""),"")</f>
        <v>#REF!</v>
      </c>
    </row>
    <row r="516" spans="1:6" x14ac:dyDescent="0.3">
      <c r="A516" s="11" t="e">
        <f>IF(#REF!&gt;=5,#REF!,"")</f>
        <v>#REF!</v>
      </c>
      <c r="B516" s="8">
        <v>11010203</v>
      </c>
      <c r="C516" s="8" t="s">
        <v>86</v>
      </c>
      <c r="D516" s="13">
        <v>0</v>
      </c>
      <c r="E516" s="15" t="s">
        <v>65</v>
      </c>
      <c r="F516" s="16" t="e">
        <f>IF(#REF!&gt;=5,IFERROR(D516*_xlfn.SINGLE(_xlfn.XLOOKUP(B516,MA_ARTICULOS!$A:$A,MA_ARTICULOS!$E:$E,0)),""),"")</f>
        <v>#REF!</v>
      </c>
    </row>
    <row r="517" spans="1:6" x14ac:dyDescent="0.3">
      <c r="A517" s="11" t="e">
        <f>IF(#REF!&gt;=5,#REF!,"")</f>
        <v>#REF!</v>
      </c>
      <c r="B517" s="8">
        <v>11010204</v>
      </c>
      <c r="C517" s="8" t="s">
        <v>87</v>
      </c>
      <c r="D517" s="13">
        <v>0</v>
      </c>
      <c r="E517" s="15" t="s">
        <v>65</v>
      </c>
      <c r="F517" s="16" t="e">
        <f>IF(#REF!&gt;=5,IFERROR(D517*_xlfn.SINGLE(_xlfn.XLOOKUP(B517,MA_ARTICULOS!$A:$A,MA_ARTICULOS!$E:$E,0)),""),"")</f>
        <v>#REF!</v>
      </c>
    </row>
    <row r="518" spans="1:6" x14ac:dyDescent="0.3">
      <c r="A518" s="11" t="e">
        <f>IF(#REF!&gt;=5,#REF!,"")</f>
        <v>#REF!</v>
      </c>
      <c r="B518" s="8">
        <v>11010301</v>
      </c>
      <c r="C518" s="8" t="s">
        <v>88</v>
      </c>
      <c r="D518" s="13">
        <v>0</v>
      </c>
      <c r="E518" s="15" t="s">
        <v>65</v>
      </c>
      <c r="F518" s="16" t="e">
        <f>IF(#REF!&gt;=5,IFERROR(D518*_xlfn.SINGLE(_xlfn.XLOOKUP(B518,MA_ARTICULOS!$A:$A,MA_ARTICULOS!$E:$E,0)),""),"")</f>
        <v>#REF!</v>
      </c>
    </row>
    <row r="519" spans="1:6" x14ac:dyDescent="0.3">
      <c r="A519" s="11" t="e">
        <f>IF(#REF!&gt;=5,#REF!,"")</f>
        <v>#REF!</v>
      </c>
      <c r="B519" s="8">
        <v>11010302</v>
      </c>
      <c r="C519" s="8" t="s">
        <v>89</v>
      </c>
      <c r="D519" s="13">
        <v>0</v>
      </c>
      <c r="E519" s="15" t="s">
        <v>65</v>
      </c>
      <c r="F519" s="16" t="e">
        <f>IF(#REF!&gt;=5,IFERROR(D519*_xlfn.SINGLE(_xlfn.XLOOKUP(B519,MA_ARTICULOS!$A:$A,MA_ARTICULOS!$E:$E,0)),""),"")</f>
        <v>#REF!</v>
      </c>
    </row>
    <row r="520" spans="1:6" x14ac:dyDescent="0.3">
      <c r="A520" s="11" t="e">
        <f>IF(#REF!&gt;=5,#REF!,"")</f>
        <v>#REF!</v>
      </c>
      <c r="B520" s="8">
        <v>11010303</v>
      </c>
      <c r="C520" s="8" t="s">
        <v>90</v>
      </c>
      <c r="D520" s="13">
        <v>0</v>
      </c>
      <c r="E520" s="15" t="s">
        <v>65</v>
      </c>
      <c r="F520" s="16" t="e">
        <f>IF(#REF!&gt;=5,IFERROR(D520*_xlfn.SINGLE(_xlfn.XLOOKUP(B520,MA_ARTICULOS!$A:$A,MA_ARTICULOS!$E:$E,0)),""),"")</f>
        <v>#REF!</v>
      </c>
    </row>
    <row r="521" spans="1:6" x14ac:dyDescent="0.3">
      <c r="A521" s="11" t="e">
        <f>IF(#REF!&gt;=5,#REF!,"")</f>
        <v>#REF!</v>
      </c>
      <c r="B521" s="8">
        <v>11010304</v>
      </c>
      <c r="C521" s="8" t="s">
        <v>91</v>
      </c>
      <c r="D521" s="13">
        <v>0</v>
      </c>
      <c r="E521" s="15" t="s">
        <v>65</v>
      </c>
      <c r="F521" s="16" t="e">
        <f>IF(#REF!&gt;=5,IFERROR(D521*_xlfn.SINGLE(_xlfn.XLOOKUP(B521,MA_ARTICULOS!$A:$A,MA_ARTICULOS!$E:$E,0)),""),"")</f>
        <v>#REF!</v>
      </c>
    </row>
    <row r="522" spans="1:6" x14ac:dyDescent="0.3">
      <c r="A522" s="11" t="e">
        <f>IF(#REF!&gt;=5,#REF!,"")</f>
        <v>#REF!</v>
      </c>
      <c r="B522" s="8">
        <v>11010305</v>
      </c>
      <c r="C522" s="8" t="s">
        <v>92</v>
      </c>
      <c r="D522" s="13">
        <v>0</v>
      </c>
      <c r="E522" s="15" t="s">
        <v>65</v>
      </c>
      <c r="F522" s="16" t="e">
        <f>IF(#REF!&gt;=5,IFERROR(D522*_xlfn.SINGLE(_xlfn.XLOOKUP(B522,MA_ARTICULOS!$A:$A,MA_ARTICULOS!$E:$E,0)),""),"")</f>
        <v>#REF!</v>
      </c>
    </row>
    <row r="523" spans="1:6" x14ac:dyDescent="0.3">
      <c r="A523" s="11" t="e">
        <f>IF(#REF!&gt;=5,#REF!,"")</f>
        <v>#REF!</v>
      </c>
      <c r="B523" s="8">
        <v>11010306</v>
      </c>
      <c r="C523" s="8" t="s">
        <v>93</v>
      </c>
      <c r="D523" s="13">
        <v>0</v>
      </c>
      <c r="E523" s="15" t="s">
        <v>65</v>
      </c>
      <c r="F523" s="16" t="e">
        <f>IF(#REF!&gt;=5,IFERROR(D523*_xlfn.SINGLE(_xlfn.XLOOKUP(B523,MA_ARTICULOS!$A:$A,MA_ARTICULOS!$E:$E,0)),""),"")</f>
        <v>#REF!</v>
      </c>
    </row>
    <row r="524" spans="1:6" x14ac:dyDescent="0.3">
      <c r="A524" s="11" t="e">
        <f>IF(#REF!&gt;=5,#REF!,"")</f>
        <v>#REF!</v>
      </c>
      <c r="B524" s="8">
        <v>11010307</v>
      </c>
      <c r="C524" s="8" t="s">
        <v>94</v>
      </c>
      <c r="D524" s="13">
        <v>0</v>
      </c>
      <c r="E524" s="15" t="s">
        <v>65</v>
      </c>
      <c r="F524" s="16" t="e">
        <f>IF(#REF!&gt;=5,IFERROR(D524*_xlfn.SINGLE(_xlfn.XLOOKUP(B524,MA_ARTICULOS!$A:$A,MA_ARTICULOS!$E:$E,0)),""),"")</f>
        <v>#REF!</v>
      </c>
    </row>
    <row r="525" spans="1:6" x14ac:dyDescent="0.3">
      <c r="A525" s="11" t="e">
        <f>IF(#REF!&gt;=5,#REF!,"")</f>
        <v>#REF!</v>
      </c>
      <c r="B525" s="8">
        <v>11010308</v>
      </c>
      <c r="C525" s="8" t="s">
        <v>95</v>
      </c>
      <c r="D525" s="13">
        <v>0</v>
      </c>
      <c r="E525" s="15" t="s">
        <v>65</v>
      </c>
      <c r="F525" s="16" t="e">
        <f>IF(#REF!&gt;=5,IFERROR(D525*_xlfn.SINGLE(_xlfn.XLOOKUP(B525,MA_ARTICULOS!$A:$A,MA_ARTICULOS!$E:$E,0)),""),"")</f>
        <v>#REF!</v>
      </c>
    </row>
    <row r="526" spans="1:6" x14ac:dyDescent="0.3">
      <c r="A526" s="11" t="e">
        <f>IF(#REF!&gt;=5,#REF!,"")</f>
        <v>#REF!</v>
      </c>
      <c r="B526" s="8">
        <v>11010309</v>
      </c>
      <c r="C526" s="8" t="s">
        <v>96</v>
      </c>
      <c r="D526" s="13">
        <v>0</v>
      </c>
      <c r="E526" s="15" t="s">
        <v>65</v>
      </c>
      <c r="F526" s="16" t="e">
        <f>IF(#REF!&gt;=5,IFERROR(D526*_xlfn.SINGLE(_xlfn.XLOOKUP(B526,MA_ARTICULOS!$A:$A,MA_ARTICULOS!$E:$E,0)),""),"")</f>
        <v>#REF!</v>
      </c>
    </row>
    <row r="527" spans="1:6" x14ac:dyDescent="0.3">
      <c r="A527" s="11" t="e">
        <f>IF(#REF!&gt;=5,#REF!,"")</f>
        <v>#REF!</v>
      </c>
      <c r="B527" s="8">
        <v>11020001</v>
      </c>
      <c r="C527" s="8" t="s">
        <v>97</v>
      </c>
      <c r="D527" s="13">
        <v>0</v>
      </c>
      <c r="E527" s="15" t="s">
        <v>65</v>
      </c>
      <c r="F527" s="16" t="e">
        <f>IF(#REF!&gt;=5,IFERROR(D527*_xlfn.SINGLE(_xlfn.XLOOKUP(B527,MA_ARTICULOS!$A:$A,MA_ARTICULOS!$E:$E,0)),""),"")</f>
        <v>#REF!</v>
      </c>
    </row>
    <row r="528" spans="1:6" x14ac:dyDescent="0.3">
      <c r="A528" s="11" t="e">
        <f>IF(#REF!&gt;=5,#REF!,"")</f>
        <v>#REF!</v>
      </c>
      <c r="B528" s="8">
        <v>11020002</v>
      </c>
      <c r="C528" s="8" t="s">
        <v>98</v>
      </c>
      <c r="D528" s="13">
        <v>0</v>
      </c>
      <c r="E528" s="15" t="s">
        <v>65</v>
      </c>
      <c r="F528" s="16" t="e">
        <f>IF(#REF!&gt;=5,IFERROR(D528*_xlfn.SINGLE(_xlfn.XLOOKUP(B528,MA_ARTICULOS!$A:$A,MA_ARTICULOS!$E:$E,0)),""),"")</f>
        <v>#REF!</v>
      </c>
    </row>
    <row r="529" spans="1:6" x14ac:dyDescent="0.3">
      <c r="A529" s="11" t="e">
        <f>IF(#REF!&gt;=5,#REF!,"")</f>
        <v>#REF!</v>
      </c>
      <c r="B529" s="8">
        <v>11020003</v>
      </c>
      <c r="C529" s="8" t="s">
        <v>99</v>
      </c>
      <c r="D529" s="13">
        <v>0</v>
      </c>
      <c r="E529" s="15" t="s">
        <v>65</v>
      </c>
      <c r="F529" s="16" t="e">
        <f>IF(#REF!&gt;=5,IFERROR(D529*_xlfn.SINGLE(_xlfn.XLOOKUP(B529,MA_ARTICULOS!$A:$A,MA_ARTICULOS!$E:$E,0)),""),"")</f>
        <v>#REF!</v>
      </c>
    </row>
    <row r="530" spans="1:6" x14ac:dyDescent="0.3">
      <c r="A530" s="11" t="e">
        <f>IF(#REF!&gt;=5,#REF!,"")</f>
        <v>#REF!</v>
      </c>
      <c r="B530" s="8">
        <v>11020004</v>
      </c>
      <c r="C530" s="8" t="s">
        <v>100</v>
      </c>
      <c r="D530" s="13">
        <v>0</v>
      </c>
      <c r="E530" s="15" t="s">
        <v>65</v>
      </c>
      <c r="F530" s="16" t="e">
        <f>IF(#REF!&gt;=5,IFERROR(D530*_xlfn.SINGLE(_xlfn.XLOOKUP(B530,MA_ARTICULOS!$A:$A,MA_ARTICULOS!$E:$E,0)),""),"")</f>
        <v>#REF!</v>
      </c>
    </row>
    <row r="531" spans="1:6" x14ac:dyDescent="0.3">
      <c r="A531" s="11" t="e">
        <f>IF(#REF!&gt;=5,#REF!,"")</f>
        <v>#REF!</v>
      </c>
      <c r="B531" s="8">
        <v>11020005</v>
      </c>
      <c r="C531" s="8" t="s">
        <v>101</v>
      </c>
      <c r="D531" s="13">
        <v>0</v>
      </c>
      <c r="E531" s="15" t="s">
        <v>65</v>
      </c>
      <c r="F531" s="16" t="e">
        <f>IF(#REF!&gt;=5,IFERROR(D531*_xlfn.SINGLE(_xlfn.XLOOKUP(B531,MA_ARTICULOS!$A:$A,MA_ARTICULOS!$E:$E,0)),""),"")</f>
        <v>#REF!</v>
      </c>
    </row>
    <row r="532" spans="1:6" x14ac:dyDescent="0.3">
      <c r="A532" s="11" t="e">
        <f>IF(#REF!&gt;=5,#REF!,"")</f>
        <v>#REF!</v>
      </c>
      <c r="B532" s="8">
        <v>11020006</v>
      </c>
      <c r="C532" s="8" t="s">
        <v>102</v>
      </c>
      <c r="D532" s="13">
        <v>0</v>
      </c>
      <c r="E532" s="15" t="s">
        <v>65</v>
      </c>
      <c r="F532" s="16" t="e">
        <f>IF(#REF!&gt;=5,IFERROR(D532*_xlfn.SINGLE(_xlfn.XLOOKUP(B532,MA_ARTICULOS!$A:$A,MA_ARTICULOS!$E:$E,0)),""),"")</f>
        <v>#REF!</v>
      </c>
    </row>
    <row r="533" spans="1:6" x14ac:dyDescent="0.3">
      <c r="A533" s="11" t="e">
        <f>IF(#REF!&gt;=5,#REF!,"")</f>
        <v>#REF!</v>
      </c>
      <c r="B533" s="8">
        <v>11020007</v>
      </c>
      <c r="C533" s="8" t="s">
        <v>103</v>
      </c>
      <c r="D533" s="13">
        <v>0</v>
      </c>
      <c r="E533" s="15" t="s">
        <v>65</v>
      </c>
      <c r="F533" s="16" t="e">
        <f>IF(#REF!&gt;=5,IFERROR(D533*_xlfn.SINGLE(_xlfn.XLOOKUP(B533,MA_ARTICULOS!$A:$A,MA_ARTICULOS!$E:$E,0)),""),"")</f>
        <v>#REF!</v>
      </c>
    </row>
    <row r="534" spans="1:6" x14ac:dyDescent="0.3">
      <c r="A534" s="11" t="e">
        <f>IF(#REF!&gt;=5,#REF!,"")</f>
        <v>#REF!</v>
      </c>
      <c r="B534" s="8">
        <v>11020008</v>
      </c>
      <c r="C534" s="8" t="s">
        <v>104</v>
      </c>
      <c r="D534" s="13">
        <v>0</v>
      </c>
      <c r="E534" s="15" t="s">
        <v>65</v>
      </c>
      <c r="F534" s="16" t="e">
        <f>IF(#REF!&gt;=5,IFERROR(D534*_xlfn.SINGLE(_xlfn.XLOOKUP(B534,MA_ARTICULOS!$A:$A,MA_ARTICULOS!$E:$E,0)),""),"")</f>
        <v>#REF!</v>
      </c>
    </row>
    <row r="535" spans="1:6" x14ac:dyDescent="0.3">
      <c r="A535" s="11" t="e">
        <f>IF(#REF!&gt;=5,#REF!,"")</f>
        <v>#REF!</v>
      </c>
      <c r="B535" s="8">
        <v>11020009</v>
      </c>
      <c r="C535" s="8" t="s">
        <v>105</v>
      </c>
      <c r="D535" s="13">
        <v>0</v>
      </c>
      <c r="E535" s="15" t="s">
        <v>65</v>
      </c>
      <c r="F535" s="16" t="e">
        <f>IF(#REF!&gt;=5,IFERROR(D535*_xlfn.SINGLE(_xlfn.XLOOKUP(B535,MA_ARTICULOS!$A:$A,MA_ARTICULOS!$E:$E,0)),""),"")</f>
        <v>#REF!</v>
      </c>
    </row>
    <row r="536" spans="1:6" x14ac:dyDescent="0.3">
      <c r="A536" s="11" t="e">
        <f>IF(#REF!&gt;=5,#REF!,"")</f>
        <v>#REF!</v>
      </c>
      <c r="B536" s="8">
        <v>11020010</v>
      </c>
      <c r="C536" s="8" t="s">
        <v>106</v>
      </c>
      <c r="D536" s="13">
        <v>0</v>
      </c>
      <c r="E536" s="15" t="s">
        <v>65</v>
      </c>
      <c r="F536" s="16" t="e">
        <f>IF(#REF!&gt;=5,IFERROR(D536*_xlfn.SINGLE(_xlfn.XLOOKUP(B536,MA_ARTICULOS!$A:$A,MA_ARTICULOS!$E:$E,0)),""),"")</f>
        <v>#REF!</v>
      </c>
    </row>
    <row r="537" spans="1:6" x14ac:dyDescent="0.3">
      <c r="A537" s="11" t="e">
        <f>IF(#REF!&gt;=5,#REF!,"")</f>
        <v>#REF!</v>
      </c>
      <c r="B537" s="8">
        <v>11020014</v>
      </c>
      <c r="C537" s="8" t="s">
        <v>107</v>
      </c>
      <c r="D537" s="13">
        <v>0</v>
      </c>
      <c r="E537" s="15" t="s">
        <v>65</v>
      </c>
      <c r="F537" s="16" t="e">
        <f>IF(#REF!&gt;=5,IFERROR(D537*_xlfn.SINGLE(_xlfn.XLOOKUP(B537,MA_ARTICULOS!$A:$A,MA_ARTICULOS!$E:$E,0)),""),"")</f>
        <v>#REF!</v>
      </c>
    </row>
    <row r="538" spans="1:6" x14ac:dyDescent="0.3">
      <c r="A538" s="11" t="e">
        <f>IF(#REF!&gt;=5,#REF!,"")</f>
        <v>#REF!</v>
      </c>
      <c r="B538" s="8">
        <v>11020015</v>
      </c>
      <c r="C538" s="8" t="s">
        <v>108</v>
      </c>
      <c r="D538" s="13">
        <v>0</v>
      </c>
      <c r="E538" s="15" t="s">
        <v>65</v>
      </c>
      <c r="F538" s="16" t="e">
        <f>IF(#REF!&gt;=5,IFERROR(D538*_xlfn.SINGLE(_xlfn.XLOOKUP(B538,MA_ARTICULOS!$A:$A,MA_ARTICULOS!$E:$E,0)),""),"")</f>
        <v>#REF!</v>
      </c>
    </row>
    <row r="539" spans="1:6" x14ac:dyDescent="0.3">
      <c r="A539" s="11" t="e">
        <f>IF(#REF!&gt;=5,#REF!,"")</f>
        <v>#REF!</v>
      </c>
      <c r="B539" s="8">
        <v>11020016</v>
      </c>
      <c r="C539" s="8" t="s">
        <v>109</v>
      </c>
      <c r="D539" s="13">
        <v>0</v>
      </c>
      <c r="E539" s="15" t="s">
        <v>65</v>
      </c>
      <c r="F539" s="16" t="e">
        <f>IF(#REF!&gt;=5,IFERROR(D539*_xlfn.SINGLE(_xlfn.XLOOKUP(B539,MA_ARTICULOS!$A:$A,MA_ARTICULOS!$E:$E,0)),""),"")</f>
        <v>#REF!</v>
      </c>
    </row>
    <row r="540" spans="1:6" x14ac:dyDescent="0.3">
      <c r="A540" s="11" t="e">
        <f>IF(#REF!&gt;=5,#REF!,"")</f>
        <v>#REF!</v>
      </c>
      <c r="B540" s="8">
        <v>12040001</v>
      </c>
      <c r="C540" s="8" t="s">
        <v>110</v>
      </c>
      <c r="D540" s="13">
        <v>0</v>
      </c>
      <c r="E540" s="15" t="s">
        <v>65</v>
      </c>
      <c r="F540" s="16" t="e">
        <f>IF(#REF!&gt;=5,IFERROR(D540*_xlfn.SINGLE(_xlfn.XLOOKUP(B540,MA_ARTICULOS!$A:$A,MA_ARTICULOS!$E:$E,0)),""),"")</f>
        <v>#REF!</v>
      </c>
    </row>
    <row r="541" spans="1:6" x14ac:dyDescent="0.3">
      <c r="A541" s="11" t="e">
        <f>IF(#REF!&gt;=5,#REF!,"")</f>
        <v>#REF!</v>
      </c>
      <c r="B541" s="8">
        <v>12040002</v>
      </c>
      <c r="C541" s="8" t="s">
        <v>111</v>
      </c>
      <c r="D541" s="13">
        <v>0</v>
      </c>
      <c r="E541" s="15" t="s">
        <v>65</v>
      </c>
      <c r="F541" s="16" t="e">
        <f>IF(#REF!&gt;=5,IFERROR(D541*_xlfn.SINGLE(_xlfn.XLOOKUP(B541,MA_ARTICULOS!$A:$A,MA_ARTICULOS!$E:$E,0)),""),"")</f>
        <v>#REF!</v>
      </c>
    </row>
    <row r="542" spans="1:6" x14ac:dyDescent="0.3">
      <c r="A542" s="11" t="e">
        <f>IF(#REF!&gt;=5,#REF!,"")</f>
        <v>#REF!</v>
      </c>
      <c r="B542" s="8">
        <v>12080001</v>
      </c>
      <c r="C542" s="8" t="s">
        <v>112</v>
      </c>
      <c r="D542" s="13">
        <v>0</v>
      </c>
      <c r="E542" s="15" t="s">
        <v>65</v>
      </c>
      <c r="F542" s="16" t="e">
        <f>IF(#REF!&gt;=5,IFERROR(D542*_xlfn.SINGLE(_xlfn.XLOOKUP(B542,MA_ARTICULOS!$A:$A,MA_ARTICULOS!$E:$E,0)),""),"")</f>
        <v>#REF!</v>
      </c>
    </row>
    <row r="543" spans="1:6" x14ac:dyDescent="0.3">
      <c r="A543" s="11" t="e">
        <f>IF(#REF!&gt;=5,#REF!,"")</f>
        <v>#REF!</v>
      </c>
      <c r="B543" s="8">
        <v>12080002</v>
      </c>
      <c r="C543" s="8" t="s">
        <v>113</v>
      </c>
      <c r="D543" s="13">
        <v>0</v>
      </c>
      <c r="E543" s="15" t="s">
        <v>65</v>
      </c>
      <c r="F543" s="16" t="e">
        <f>IF(#REF!&gt;=5,IFERROR(D543*_xlfn.SINGLE(_xlfn.XLOOKUP(B543,MA_ARTICULOS!$A:$A,MA_ARTICULOS!$E:$E,0)),""),"")</f>
        <v>#REF!</v>
      </c>
    </row>
    <row r="544" spans="1:6" x14ac:dyDescent="0.3">
      <c r="A544" s="11" t="e">
        <f>IF(#REF!&gt;=5,#REF!,"")</f>
        <v>#REF!</v>
      </c>
      <c r="B544" s="8">
        <v>12080003</v>
      </c>
      <c r="C544" s="8" t="s">
        <v>114</v>
      </c>
      <c r="D544" s="13">
        <v>0</v>
      </c>
      <c r="E544" s="15" t="s">
        <v>65</v>
      </c>
      <c r="F544" s="16" t="e">
        <f>IF(#REF!&gt;=5,IFERROR(D544*_xlfn.SINGLE(_xlfn.XLOOKUP(B544,MA_ARTICULOS!$A:$A,MA_ARTICULOS!$E:$E,0)),""),"")</f>
        <v>#REF!</v>
      </c>
    </row>
    <row r="545" spans="1:6" x14ac:dyDescent="0.3">
      <c r="A545" s="11" t="e">
        <f>IF(#REF!&gt;=5,#REF!,"")</f>
        <v>#REF!</v>
      </c>
      <c r="B545" s="8">
        <v>13010007</v>
      </c>
      <c r="C545" s="8" t="s">
        <v>115</v>
      </c>
      <c r="D545" s="13">
        <v>0</v>
      </c>
      <c r="E545" s="15" t="s">
        <v>65</v>
      </c>
      <c r="F545" s="16" t="e">
        <f>IF(#REF!&gt;=5,IFERROR(D545*_xlfn.SINGLE(_xlfn.XLOOKUP(B545,MA_ARTICULOS!$A:$A,MA_ARTICULOS!$E:$E,0)),""),"")</f>
        <v>#REF!</v>
      </c>
    </row>
    <row r="546" spans="1:6" x14ac:dyDescent="0.3">
      <c r="A546" s="11" t="e">
        <f>IF(#REF!&gt;=5,#REF!,"")</f>
        <v>#REF!</v>
      </c>
      <c r="B546" s="8">
        <v>13010008</v>
      </c>
      <c r="C546" s="8" t="s">
        <v>116</v>
      </c>
      <c r="D546" s="13">
        <v>0</v>
      </c>
      <c r="E546" s="15" t="s">
        <v>65</v>
      </c>
      <c r="F546" s="16" t="e">
        <f>IF(#REF!&gt;=5,IFERROR(D546*_xlfn.SINGLE(_xlfn.XLOOKUP(B546,MA_ARTICULOS!$A:$A,MA_ARTICULOS!$E:$E,0)),""),"")</f>
        <v>#REF!</v>
      </c>
    </row>
    <row r="547" spans="1:6" x14ac:dyDescent="0.3">
      <c r="A547" s="11" t="e">
        <f>IF(#REF!&gt;=5,#REF!,"")</f>
        <v>#REF!</v>
      </c>
      <c r="B547" s="8">
        <v>13019001</v>
      </c>
      <c r="C547" s="8" t="s">
        <v>117</v>
      </c>
      <c r="D547" s="13">
        <v>0</v>
      </c>
      <c r="E547" s="15" t="s">
        <v>65</v>
      </c>
      <c r="F547" s="16" t="e">
        <f>IF(#REF!&gt;=5,IFERROR(D547*_xlfn.SINGLE(_xlfn.XLOOKUP(B547,MA_ARTICULOS!$A:$A,MA_ARTICULOS!$E:$E,0)),""),"")</f>
        <v>#REF!</v>
      </c>
    </row>
    <row r="548" spans="1:6" x14ac:dyDescent="0.3">
      <c r="A548" s="11" t="e">
        <f>IF(#REF!&gt;=5,#REF!,"")</f>
        <v>#REF!</v>
      </c>
      <c r="B548" s="8">
        <v>13019002</v>
      </c>
      <c r="C548" s="8" t="s">
        <v>118</v>
      </c>
      <c r="D548" s="13">
        <v>0</v>
      </c>
      <c r="E548" s="15" t="s">
        <v>65</v>
      </c>
      <c r="F548" s="16" t="e">
        <f>IF(#REF!&gt;=5,IFERROR(D548*_xlfn.SINGLE(_xlfn.XLOOKUP(B548,MA_ARTICULOS!$A:$A,MA_ARTICULOS!$E:$E,0)),""),"")</f>
        <v>#REF!</v>
      </c>
    </row>
    <row r="549" spans="1:6" x14ac:dyDescent="0.3">
      <c r="A549" s="11" t="e">
        <f>IF(#REF!&gt;=5,#REF!,"")</f>
        <v>#REF!</v>
      </c>
      <c r="B549" s="8">
        <v>13019003</v>
      </c>
      <c r="C549" s="8" t="s">
        <v>119</v>
      </c>
      <c r="D549" s="13">
        <v>0</v>
      </c>
      <c r="E549" s="15" t="s">
        <v>65</v>
      </c>
      <c r="F549" s="16" t="e">
        <f>IF(#REF!&gt;=5,IFERROR(D549*_xlfn.SINGLE(_xlfn.XLOOKUP(B549,MA_ARTICULOS!$A:$A,MA_ARTICULOS!$E:$E,0)),""),"")</f>
        <v>#REF!</v>
      </c>
    </row>
    <row r="550" spans="1:6" x14ac:dyDescent="0.3">
      <c r="A550" s="11" t="e">
        <f>IF(#REF!&gt;=5,#REF!,"")</f>
        <v>#REF!</v>
      </c>
      <c r="B550" s="8">
        <v>13019004</v>
      </c>
      <c r="C550" s="8" t="s">
        <v>120</v>
      </c>
      <c r="D550" s="13">
        <v>0</v>
      </c>
      <c r="E550" s="15" t="s">
        <v>65</v>
      </c>
      <c r="F550" s="16" t="e">
        <f>IF(#REF!&gt;=5,IFERROR(D550*_xlfn.SINGLE(_xlfn.XLOOKUP(B550,MA_ARTICULOS!$A:$A,MA_ARTICULOS!$E:$E,0)),""),"")</f>
        <v>#REF!</v>
      </c>
    </row>
    <row r="551" spans="1:6" x14ac:dyDescent="0.3">
      <c r="A551" s="11" t="e">
        <f>IF(#REF!&gt;=5,#REF!,"")</f>
        <v>#REF!</v>
      </c>
      <c r="B551" s="8">
        <v>13019005</v>
      </c>
      <c r="C551" s="8" t="s">
        <v>121</v>
      </c>
      <c r="D551" s="13">
        <v>0</v>
      </c>
      <c r="E551" s="15" t="s">
        <v>65</v>
      </c>
      <c r="F551" s="16" t="e">
        <f>IF(#REF!&gt;=5,IFERROR(D551*_xlfn.SINGLE(_xlfn.XLOOKUP(B551,MA_ARTICULOS!$A:$A,MA_ARTICULOS!$E:$E,0)),""),"")</f>
        <v>#REF!</v>
      </c>
    </row>
    <row r="552" spans="1:6" x14ac:dyDescent="0.3">
      <c r="A552" s="11" t="e">
        <f>IF(#REF!&gt;=5,#REF!,"")</f>
        <v>#REF!</v>
      </c>
      <c r="B552" s="8">
        <v>13019007</v>
      </c>
      <c r="C552" s="8" t="s">
        <v>122</v>
      </c>
      <c r="D552" s="13">
        <v>0</v>
      </c>
      <c r="E552" s="15" t="s">
        <v>65</v>
      </c>
      <c r="F552" s="16" t="e">
        <f>IF(#REF!&gt;=5,IFERROR(D552*_xlfn.SINGLE(_xlfn.XLOOKUP(B552,MA_ARTICULOS!$A:$A,MA_ARTICULOS!$E:$E,0)),""),"")</f>
        <v>#REF!</v>
      </c>
    </row>
    <row r="553" spans="1:6" x14ac:dyDescent="0.3">
      <c r="A553" s="11" t="e">
        <f>IF(#REF!&gt;=5,#REF!,"")</f>
        <v>#REF!</v>
      </c>
      <c r="B553" s="8">
        <v>13019008</v>
      </c>
      <c r="C553" s="8" t="s">
        <v>123</v>
      </c>
      <c r="D553" s="13">
        <v>0</v>
      </c>
      <c r="E553" s="15" t="s">
        <v>65</v>
      </c>
      <c r="F553" s="16" t="e">
        <f>IF(#REF!&gt;=5,IFERROR(D553*_xlfn.SINGLE(_xlfn.XLOOKUP(B553,MA_ARTICULOS!$A:$A,MA_ARTICULOS!$E:$E,0)),""),"")</f>
        <v>#REF!</v>
      </c>
    </row>
    <row r="554" spans="1:6" x14ac:dyDescent="0.3">
      <c r="A554" s="11" t="e">
        <f>IF(#REF!&gt;=5,#REF!,"")</f>
        <v>#REF!</v>
      </c>
      <c r="B554" s="8">
        <v>13020004</v>
      </c>
      <c r="C554" s="8" t="s">
        <v>124</v>
      </c>
      <c r="D554" s="13">
        <v>0</v>
      </c>
      <c r="E554" s="15" t="s">
        <v>65</v>
      </c>
      <c r="F554" s="16" t="e">
        <f>IF(#REF!&gt;=5,IFERROR(D554*_xlfn.SINGLE(_xlfn.XLOOKUP(B554,MA_ARTICULOS!$A:$A,MA_ARTICULOS!$E:$E,0)),""),"")</f>
        <v>#REF!</v>
      </c>
    </row>
    <row r="555" spans="1:6" x14ac:dyDescent="0.3">
      <c r="A555" s="11" t="e">
        <f>IF(#REF!&gt;=5,#REF!,"")</f>
        <v>#REF!</v>
      </c>
      <c r="B555" s="8">
        <v>13020005</v>
      </c>
      <c r="C555" s="8" t="s">
        <v>125</v>
      </c>
      <c r="D555" s="13">
        <v>0</v>
      </c>
      <c r="E555" s="15" t="s">
        <v>65</v>
      </c>
      <c r="F555" s="16" t="e">
        <f>IF(#REF!&gt;=5,IFERROR(D555*_xlfn.SINGLE(_xlfn.XLOOKUP(B555,MA_ARTICULOS!$A:$A,MA_ARTICULOS!$E:$E,0)),""),"")</f>
        <v>#REF!</v>
      </c>
    </row>
    <row r="556" spans="1:6" x14ac:dyDescent="0.3">
      <c r="A556" s="11" t="e">
        <f>IF(#REF!&gt;=5,#REF!,"")</f>
        <v>#REF!</v>
      </c>
      <c r="B556" s="8">
        <v>13040001</v>
      </c>
      <c r="C556" s="8" t="s">
        <v>126</v>
      </c>
      <c r="D556" s="13">
        <v>0</v>
      </c>
      <c r="E556" s="15" t="s">
        <v>65</v>
      </c>
      <c r="F556" s="16" t="e">
        <f>IF(#REF!&gt;=5,IFERROR(D556*_xlfn.SINGLE(_xlfn.XLOOKUP(B556,MA_ARTICULOS!$A:$A,MA_ARTICULOS!$E:$E,0)),""),"")</f>
        <v>#REF!</v>
      </c>
    </row>
    <row r="557" spans="1:6" x14ac:dyDescent="0.3">
      <c r="A557" s="11" t="e">
        <f>IF(#REF!&gt;=5,#REF!,"")</f>
        <v>#REF!</v>
      </c>
      <c r="B557" s="8">
        <v>13040002</v>
      </c>
      <c r="C557" s="8" t="s">
        <v>127</v>
      </c>
      <c r="D557" s="13">
        <v>0</v>
      </c>
      <c r="E557" s="15" t="s">
        <v>65</v>
      </c>
      <c r="F557" s="16" t="e">
        <f>IF(#REF!&gt;=5,IFERROR(D557*_xlfn.SINGLE(_xlfn.XLOOKUP(B557,MA_ARTICULOS!$A:$A,MA_ARTICULOS!$E:$E,0)),""),"")</f>
        <v>#REF!</v>
      </c>
    </row>
    <row r="558" spans="1:6" x14ac:dyDescent="0.3">
      <c r="A558" s="11" t="e">
        <f>IF(#REF!&gt;=5,#REF!,"")</f>
        <v>#REF!</v>
      </c>
      <c r="B558" s="8">
        <v>13040003</v>
      </c>
      <c r="C558" s="8" t="s">
        <v>128</v>
      </c>
      <c r="D558" s="13">
        <v>0</v>
      </c>
      <c r="E558" s="15" t="s">
        <v>65</v>
      </c>
      <c r="F558" s="16" t="e">
        <f>IF(#REF!&gt;=5,IFERROR(D558*_xlfn.SINGLE(_xlfn.XLOOKUP(B558,MA_ARTICULOS!$A:$A,MA_ARTICULOS!$E:$E,0)),""),"")</f>
        <v>#REF!</v>
      </c>
    </row>
    <row r="559" spans="1:6" x14ac:dyDescent="0.3">
      <c r="A559" s="11" t="e">
        <f>IF(#REF!&gt;=5,#REF!,"")</f>
        <v>#REF!</v>
      </c>
      <c r="B559" s="8">
        <v>13040004</v>
      </c>
      <c r="C559" s="8" t="s">
        <v>129</v>
      </c>
      <c r="D559" s="13">
        <v>0</v>
      </c>
      <c r="E559" s="15" t="s">
        <v>65</v>
      </c>
      <c r="F559" s="16" t="e">
        <f>IF(#REF!&gt;=5,IFERROR(D559*_xlfn.SINGLE(_xlfn.XLOOKUP(B559,MA_ARTICULOS!$A:$A,MA_ARTICULOS!$E:$E,0)),""),"")</f>
        <v>#REF!</v>
      </c>
    </row>
    <row r="560" spans="1:6" x14ac:dyDescent="0.3">
      <c r="A560" s="11" t="e">
        <f>IF(#REF!&gt;=5,#REF!,"")</f>
        <v>#REF!</v>
      </c>
      <c r="B560" s="8">
        <v>13040005</v>
      </c>
      <c r="C560" s="8" t="s">
        <v>130</v>
      </c>
      <c r="D560" s="13">
        <v>0</v>
      </c>
      <c r="E560" s="15" t="s">
        <v>65</v>
      </c>
      <c r="F560" s="16" t="e">
        <f>IF(#REF!&gt;=5,IFERROR(D560*_xlfn.SINGLE(_xlfn.XLOOKUP(B560,MA_ARTICULOS!$A:$A,MA_ARTICULOS!$E:$E,0)),""),"")</f>
        <v>#REF!</v>
      </c>
    </row>
    <row r="561" spans="1:6" x14ac:dyDescent="0.3">
      <c r="A561" s="11" t="e">
        <f>IF(#REF!&gt;=5,#REF!,"")</f>
        <v>#REF!</v>
      </c>
      <c r="B561" s="8">
        <v>13040006</v>
      </c>
      <c r="C561" s="8" t="s">
        <v>131</v>
      </c>
      <c r="D561" s="13">
        <v>0</v>
      </c>
      <c r="E561" s="15" t="s">
        <v>65</v>
      </c>
      <c r="F561" s="16" t="e">
        <f>IF(#REF!&gt;=5,IFERROR(D561*_xlfn.SINGLE(_xlfn.XLOOKUP(B561,MA_ARTICULOS!$A:$A,MA_ARTICULOS!$E:$E,0)),""),"")</f>
        <v>#REF!</v>
      </c>
    </row>
    <row r="562" spans="1:6" x14ac:dyDescent="0.3">
      <c r="A562" s="11" t="e">
        <f>IF(#REF!&gt;=5,#REF!,"")</f>
        <v>#REF!</v>
      </c>
      <c r="B562" s="8">
        <v>13040007</v>
      </c>
      <c r="C562" s="8" t="s">
        <v>132</v>
      </c>
      <c r="D562" s="13">
        <v>0</v>
      </c>
      <c r="E562" s="15" t="s">
        <v>65</v>
      </c>
      <c r="F562" s="16" t="e">
        <f>IF(#REF!&gt;=5,IFERROR(D562*_xlfn.SINGLE(_xlfn.XLOOKUP(B562,MA_ARTICULOS!$A:$A,MA_ARTICULOS!$E:$E,0)),""),"")</f>
        <v>#REF!</v>
      </c>
    </row>
    <row r="563" spans="1:6" x14ac:dyDescent="0.3">
      <c r="A563" s="11" t="e">
        <f>IF(#REF!&gt;=5,#REF!,"")</f>
        <v>#REF!</v>
      </c>
      <c r="B563" s="8">
        <v>13040008</v>
      </c>
      <c r="C563" s="8" t="s">
        <v>133</v>
      </c>
      <c r="D563" s="13">
        <v>0</v>
      </c>
      <c r="E563" s="15" t="s">
        <v>65</v>
      </c>
      <c r="F563" s="16" t="e">
        <f>IF(#REF!&gt;=5,IFERROR(D563*_xlfn.SINGLE(_xlfn.XLOOKUP(B563,MA_ARTICULOS!$A:$A,MA_ARTICULOS!$E:$E,0)),""),"")</f>
        <v>#REF!</v>
      </c>
    </row>
    <row r="564" spans="1:6" x14ac:dyDescent="0.3">
      <c r="A564" s="11" t="e">
        <f>IF(#REF!&gt;=5,#REF!,"")</f>
        <v>#REF!</v>
      </c>
      <c r="B564" s="8">
        <v>13040009</v>
      </c>
      <c r="C564" s="8" t="s">
        <v>134</v>
      </c>
      <c r="D564" s="13">
        <v>0</v>
      </c>
      <c r="E564" s="15" t="s">
        <v>65</v>
      </c>
      <c r="F564" s="16" t="e">
        <f>IF(#REF!&gt;=5,IFERROR(D564*_xlfn.SINGLE(_xlfn.XLOOKUP(B564,MA_ARTICULOS!$A:$A,MA_ARTICULOS!$E:$E,0)),""),"")</f>
        <v>#REF!</v>
      </c>
    </row>
    <row r="565" spans="1:6" x14ac:dyDescent="0.3">
      <c r="A565" s="11" t="e">
        <f>IF(#REF!&gt;=5,#REF!,"")</f>
        <v>#REF!</v>
      </c>
      <c r="B565" s="8">
        <v>13040010</v>
      </c>
      <c r="C565" s="8" t="s">
        <v>135</v>
      </c>
      <c r="D565" s="13">
        <v>0</v>
      </c>
      <c r="E565" s="15" t="s">
        <v>65</v>
      </c>
      <c r="F565" s="16" t="e">
        <f>IF(#REF!&gt;=5,IFERROR(D565*_xlfn.SINGLE(_xlfn.XLOOKUP(B565,MA_ARTICULOS!$A:$A,MA_ARTICULOS!$E:$E,0)),""),"")</f>
        <v>#REF!</v>
      </c>
    </row>
    <row r="566" spans="1:6" x14ac:dyDescent="0.3">
      <c r="A566" s="11" t="e">
        <f>IF(#REF!&gt;=5,#REF!,"")</f>
        <v>#REF!</v>
      </c>
      <c r="B566" s="8">
        <v>13040011</v>
      </c>
      <c r="C566" s="8" t="s">
        <v>136</v>
      </c>
      <c r="D566" s="13">
        <v>0</v>
      </c>
      <c r="E566" s="15" t="s">
        <v>65</v>
      </c>
      <c r="F566" s="16" t="e">
        <f>IF(#REF!&gt;=5,IFERROR(D566*_xlfn.SINGLE(_xlfn.XLOOKUP(B566,MA_ARTICULOS!$A:$A,MA_ARTICULOS!$E:$E,0)),""),"")</f>
        <v>#REF!</v>
      </c>
    </row>
    <row r="567" spans="1:6" x14ac:dyDescent="0.3">
      <c r="A567" s="11" t="e">
        <f>IF(#REF!&gt;=5,#REF!,"")</f>
        <v>#REF!</v>
      </c>
      <c r="B567" s="8">
        <v>13040012</v>
      </c>
      <c r="C567" s="8" t="s">
        <v>137</v>
      </c>
      <c r="D567" s="13">
        <v>0</v>
      </c>
      <c r="E567" s="15" t="s">
        <v>65</v>
      </c>
      <c r="F567" s="16" t="e">
        <f>IF(#REF!&gt;=5,IFERROR(D567*_xlfn.SINGLE(_xlfn.XLOOKUP(B567,MA_ARTICULOS!$A:$A,MA_ARTICULOS!$E:$E,0)),""),"")</f>
        <v>#REF!</v>
      </c>
    </row>
    <row r="568" spans="1:6" x14ac:dyDescent="0.3">
      <c r="A568" s="11" t="e">
        <f>IF(#REF!&gt;=5,#REF!,"")</f>
        <v>#REF!</v>
      </c>
      <c r="B568" s="8">
        <v>13040013</v>
      </c>
      <c r="C568" s="8" t="s">
        <v>138</v>
      </c>
      <c r="D568" s="13">
        <v>0</v>
      </c>
      <c r="E568" s="15" t="s">
        <v>65</v>
      </c>
      <c r="F568" s="16" t="e">
        <f>IF(#REF!&gt;=5,IFERROR(D568*_xlfn.SINGLE(_xlfn.XLOOKUP(B568,MA_ARTICULOS!$A:$A,MA_ARTICULOS!$E:$E,0)),""),"")</f>
        <v>#REF!</v>
      </c>
    </row>
    <row r="569" spans="1:6" x14ac:dyDescent="0.3">
      <c r="A569" s="11" t="e">
        <f>IF(#REF!&gt;=5,#REF!,"")</f>
        <v>#REF!</v>
      </c>
      <c r="B569" s="8">
        <v>13040014</v>
      </c>
      <c r="C569" s="8" t="s">
        <v>139</v>
      </c>
      <c r="D569" s="13">
        <v>0</v>
      </c>
      <c r="E569" s="15" t="s">
        <v>65</v>
      </c>
      <c r="F569" s="16" t="e">
        <f>IF(#REF!&gt;=5,IFERROR(D569*_xlfn.SINGLE(_xlfn.XLOOKUP(B569,MA_ARTICULOS!$A:$A,MA_ARTICULOS!$E:$E,0)),""),"")</f>
        <v>#REF!</v>
      </c>
    </row>
    <row r="570" spans="1:6" x14ac:dyDescent="0.3">
      <c r="A570" s="11" t="e">
        <f>IF(#REF!&gt;=5,#REF!,"")</f>
        <v>#REF!</v>
      </c>
      <c r="B570" s="8">
        <v>13040015</v>
      </c>
      <c r="C570" s="8" t="s">
        <v>140</v>
      </c>
      <c r="D570" s="13">
        <v>0</v>
      </c>
      <c r="E570" s="15" t="s">
        <v>65</v>
      </c>
      <c r="F570" s="16" t="e">
        <f>IF(#REF!&gt;=5,IFERROR(D570*_xlfn.SINGLE(_xlfn.XLOOKUP(B570,MA_ARTICULOS!$A:$A,MA_ARTICULOS!$E:$E,0)),""),"")</f>
        <v>#REF!</v>
      </c>
    </row>
    <row r="571" spans="1:6" x14ac:dyDescent="0.3">
      <c r="A571" s="11" t="e">
        <f>IF(#REF!&gt;=5,#REF!,"")</f>
        <v>#REF!</v>
      </c>
      <c r="B571" s="8">
        <v>13040016</v>
      </c>
      <c r="C571" s="8" t="s">
        <v>141</v>
      </c>
      <c r="D571" s="13">
        <v>0</v>
      </c>
      <c r="E571" s="15" t="s">
        <v>65</v>
      </c>
      <c r="F571" s="16" t="e">
        <f>IF(#REF!&gt;=5,IFERROR(D571*_xlfn.SINGLE(_xlfn.XLOOKUP(B571,MA_ARTICULOS!$A:$A,MA_ARTICULOS!$E:$E,0)),""),"")</f>
        <v>#REF!</v>
      </c>
    </row>
    <row r="572" spans="1:6" x14ac:dyDescent="0.3">
      <c r="A572" s="11" t="e">
        <f>IF(#REF!&gt;=5,#REF!,"")</f>
        <v>#REF!</v>
      </c>
      <c r="B572" s="8">
        <v>13040017</v>
      </c>
      <c r="C572" s="8" t="s">
        <v>142</v>
      </c>
      <c r="D572" s="13">
        <v>0</v>
      </c>
      <c r="E572" s="15" t="s">
        <v>65</v>
      </c>
      <c r="F572" s="16" t="e">
        <f>IF(#REF!&gt;=5,IFERROR(D572*_xlfn.SINGLE(_xlfn.XLOOKUP(B572,MA_ARTICULOS!$A:$A,MA_ARTICULOS!$E:$E,0)),""),"")</f>
        <v>#REF!</v>
      </c>
    </row>
    <row r="573" spans="1:6" x14ac:dyDescent="0.3">
      <c r="A573" s="11" t="e">
        <f>IF(#REF!&gt;=5,#REF!,"")</f>
        <v>#REF!</v>
      </c>
      <c r="B573" s="8">
        <v>13040018</v>
      </c>
      <c r="C573" s="8" t="s">
        <v>143</v>
      </c>
      <c r="D573" s="13">
        <v>0</v>
      </c>
      <c r="E573" s="15" t="s">
        <v>65</v>
      </c>
      <c r="F573" s="16" t="e">
        <f>IF(#REF!&gt;=5,IFERROR(D573*_xlfn.SINGLE(_xlfn.XLOOKUP(B573,MA_ARTICULOS!$A:$A,MA_ARTICULOS!$E:$E,0)),""),"")</f>
        <v>#REF!</v>
      </c>
    </row>
    <row r="574" spans="1:6" x14ac:dyDescent="0.3">
      <c r="A574" s="11" t="e">
        <f>IF(#REF!&gt;=5,#REF!,"")</f>
        <v>#REF!</v>
      </c>
      <c r="B574" s="8">
        <v>13040101</v>
      </c>
      <c r="C574" s="8" t="s">
        <v>144</v>
      </c>
      <c r="D574" s="13">
        <v>0</v>
      </c>
      <c r="E574" s="15" t="s">
        <v>65</v>
      </c>
      <c r="F574" s="16" t="e">
        <f>IF(#REF!&gt;=5,IFERROR(D574*_xlfn.SINGLE(_xlfn.XLOOKUP(B574,MA_ARTICULOS!$A:$A,MA_ARTICULOS!$E:$E,0)),""),"")</f>
        <v>#REF!</v>
      </c>
    </row>
    <row r="575" spans="1:6" x14ac:dyDescent="0.3">
      <c r="A575" s="11" t="e">
        <f>IF(#REF!&gt;=5,#REF!,"")</f>
        <v>#REF!</v>
      </c>
      <c r="B575" s="8">
        <v>13040102</v>
      </c>
      <c r="C575" s="8" t="s">
        <v>145</v>
      </c>
      <c r="D575" s="13">
        <v>0</v>
      </c>
      <c r="E575" s="15" t="s">
        <v>65</v>
      </c>
      <c r="F575" s="16" t="e">
        <f>IF(#REF!&gt;=5,IFERROR(D575*_xlfn.SINGLE(_xlfn.XLOOKUP(B575,MA_ARTICULOS!$A:$A,MA_ARTICULOS!$E:$E,0)),""),"")</f>
        <v>#REF!</v>
      </c>
    </row>
    <row r="576" spans="1:6" x14ac:dyDescent="0.3">
      <c r="A576" s="11" t="e">
        <f>IF(#REF!&gt;=5,#REF!,"")</f>
        <v>#REF!</v>
      </c>
      <c r="B576" s="8">
        <v>13040103</v>
      </c>
      <c r="C576" s="8" t="s">
        <v>146</v>
      </c>
      <c r="D576" s="13">
        <v>0</v>
      </c>
      <c r="E576" s="15" t="s">
        <v>65</v>
      </c>
      <c r="F576" s="16" t="e">
        <f>IF(#REF!&gt;=5,IFERROR(D576*_xlfn.SINGLE(_xlfn.XLOOKUP(B576,MA_ARTICULOS!$A:$A,MA_ARTICULOS!$E:$E,0)),""),"")</f>
        <v>#REF!</v>
      </c>
    </row>
    <row r="577" spans="1:6" x14ac:dyDescent="0.3">
      <c r="A577" s="11" t="e">
        <f>IF(#REF!&gt;=5,#REF!,"")</f>
        <v>#REF!</v>
      </c>
      <c r="B577" s="8">
        <v>13050001</v>
      </c>
      <c r="C577" s="8" t="s">
        <v>147</v>
      </c>
      <c r="D577" s="13">
        <v>0</v>
      </c>
      <c r="E577" s="15" t="s">
        <v>65</v>
      </c>
      <c r="F577" s="16" t="e">
        <f>IF(#REF!&gt;=5,IFERROR(D577*_xlfn.SINGLE(_xlfn.XLOOKUP(B577,MA_ARTICULOS!$A:$A,MA_ARTICULOS!$E:$E,0)),""),"")</f>
        <v>#REF!</v>
      </c>
    </row>
    <row r="578" spans="1:6" x14ac:dyDescent="0.3">
      <c r="A578" s="11" t="e">
        <f>IF(#REF!&gt;=5,#REF!,"")</f>
        <v>#REF!</v>
      </c>
      <c r="B578" s="8">
        <v>13050002</v>
      </c>
      <c r="C578" s="8" t="s">
        <v>148</v>
      </c>
      <c r="D578" s="13">
        <v>0</v>
      </c>
      <c r="E578" s="15" t="s">
        <v>65</v>
      </c>
      <c r="F578" s="16" t="e">
        <f>IF(#REF!&gt;=5,IFERROR(D578*_xlfn.SINGLE(_xlfn.XLOOKUP(B578,MA_ARTICULOS!$A:$A,MA_ARTICULOS!$E:$E,0)),""),"")</f>
        <v>#REF!</v>
      </c>
    </row>
    <row r="579" spans="1:6" x14ac:dyDescent="0.3">
      <c r="A579" s="11" t="e">
        <f>IF(#REF!&gt;=5,#REF!,"")</f>
        <v>#REF!</v>
      </c>
      <c r="B579" s="8">
        <v>13050003</v>
      </c>
      <c r="C579" s="8" t="s">
        <v>149</v>
      </c>
      <c r="D579" s="13">
        <v>0</v>
      </c>
      <c r="E579" s="15" t="s">
        <v>65</v>
      </c>
      <c r="F579" s="16" t="e">
        <f>IF(#REF!&gt;=5,IFERROR(D579*_xlfn.SINGLE(_xlfn.XLOOKUP(B579,MA_ARTICULOS!$A:$A,MA_ARTICULOS!$E:$E,0)),""),"")</f>
        <v>#REF!</v>
      </c>
    </row>
    <row r="580" spans="1:6" x14ac:dyDescent="0.3">
      <c r="A580" s="11" t="e">
        <f>IF(#REF!&gt;=5,#REF!,"")</f>
        <v>#REF!</v>
      </c>
      <c r="B580" s="8">
        <v>13050004</v>
      </c>
      <c r="C580" s="8" t="s">
        <v>150</v>
      </c>
      <c r="D580" s="13">
        <v>0</v>
      </c>
      <c r="E580" s="15" t="s">
        <v>65</v>
      </c>
      <c r="F580" s="16" t="e">
        <f>IF(#REF!&gt;=5,IFERROR(D580*_xlfn.SINGLE(_xlfn.XLOOKUP(B580,MA_ARTICULOS!$A:$A,MA_ARTICULOS!$E:$E,0)),""),"")</f>
        <v>#REF!</v>
      </c>
    </row>
    <row r="581" spans="1:6" x14ac:dyDescent="0.3">
      <c r="A581" s="11" t="e">
        <f>IF(#REF!&gt;=5,#REF!,"")</f>
        <v>#REF!</v>
      </c>
      <c r="B581" s="8">
        <v>13050005</v>
      </c>
      <c r="C581" s="8" t="s">
        <v>151</v>
      </c>
      <c r="D581" s="13">
        <v>0</v>
      </c>
      <c r="E581" s="15" t="s">
        <v>65</v>
      </c>
      <c r="F581" s="16" t="e">
        <f>IF(#REF!&gt;=5,IFERROR(D581*_xlfn.SINGLE(_xlfn.XLOOKUP(B581,MA_ARTICULOS!$A:$A,MA_ARTICULOS!$E:$E,0)),""),"")</f>
        <v>#REF!</v>
      </c>
    </row>
    <row r="582" spans="1:6" x14ac:dyDescent="0.3">
      <c r="A582" s="11" t="e">
        <f>IF(#REF!&gt;=5,#REF!,"")</f>
        <v>#REF!</v>
      </c>
      <c r="B582" s="8">
        <v>13050006</v>
      </c>
      <c r="C582" s="8" t="s">
        <v>152</v>
      </c>
      <c r="D582" s="13">
        <v>0</v>
      </c>
      <c r="E582" s="15" t="s">
        <v>65</v>
      </c>
      <c r="F582" s="16" t="e">
        <f>IF(#REF!&gt;=5,IFERROR(D582*_xlfn.SINGLE(_xlfn.XLOOKUP(B582,MA_ARTICULOS!$A:$A,MA_ARTICULOS!$E:$E,0)),""),"")</f>
        <v>#REF!</v>
      </c>
    </row>
    <row r="583" spans="1:6" x14ac:dyDescent="0.3">
      <c r="A583" s="11" t="e">
        <f>IF(#REF!&gt;=5,#REF!,"")</f>
        <v>#REF!</v>
      </c>
      <c r="B583" s="8">
        <v>13050007</v>
      </c>
      <c r="C583" s="8" t="s">
        <v>153</v>
      </c>
      <c r="D583" s="13">
        <v>0</v>
      </c>
      <c r="E583" s="15" t="s">
        <v>65</v>
      </c>
      <c r="F583" s="16" t="e">
        <f>IF(#REF!&gt;=5,IFERROR(D583*_xlfn.SINGLE(_xlfn.XLOOKUP(B583,MA_ARTICULOS!$A:$A,MA_ARTICULOS!$E:$E,0)),""),"")</f>
        <v>#REF!</v>
      </c>
    </row>
    <row r="584" spans="1:6" x14ac:dyDescent="0.3">
      <c r="A584" s="11" t="e">
        <f>IF(#REF!&gt;=5,#REF!,"")</f>
        <v>#REF!</v>
      </c>
      <c r="B584" s="8">
        <v>13050008</v>
      </c>
      <c r="C584" s="8" t="s">
        <v>154</v>
      </c>
      <c r="D584" s="13">
        <v>0</v>
      </c>
      <c r="E584" s="15" t="s">
        <v>65</v>
      </c>
      <c r="F584" s="16" t="e">
        <f>IF(#REF!&gt;=5,IFERROR(D584*_xlfn.SINGLE(_xlfn.XLOOKUP(B584,MA_ARTICULOS!$A:$A,MA_ARTICULOS!$E:$E,0)),""),"")</f>
        <v>#REF!</v>
      </c>
    </row>
    <row r="585" spans="1:6" x14ac:dyDescent="0.3">
      <c r="A585" s="11" t="e">
        <f>IF(#REF!&gt;=5,#REF!,"")</f>
        <v>#REF!</v>
      </c>
      <c r="B585" s="8">
        <v>13089001</v>
      </c>
      <c r="C585" s="8" t="s">
        <v>155</v>
      </c>
      <c r="D585" s="13">
        <v>0</v>
      </c>
      <c r="E585" s="15" t="s">
        <v>65</v>
      </c>
      <c r="F585" s="16" t="e">
        <f>IF(#REF!&gt;=5,IFERROR(D585*_xlfn.SINGLE(_xlfn.XLOOKUP(B585,MA_ARTICULOS!$A:$A,MA_ARTICULOS!$E:$E,0)),""),"")</f>
        <v>#REF!</v>
      </c>
    </row>
    <row r="586" spans="1:6" x14ac:dyDescent="0.3">
      <c r="A586" s="11" t="e">
        <f>IF(#REF!&gt;=5,#REF!,"")</f>
        <v>#REF!</v>
      </c>
      <c r="B586" s="8">
        <v>13089002</v>
      </c>
      <c r="C586" s="8" t="s">
        <v>156</v>
      </c>
      <c r="D586" s="13">
        <v>0</v>
      </c>
      <c r="E586" s="15" t="s">
        <v>65</v>
      </c>
      <c r="F586" s="16" t="e">
        <f>IF(#REF!&gt;=5,IFERROR(D586*_xlfn.SINGLE(_xlfn.XLOOKUP(B586,MA_ARTICULOS!$A:$A,MA_ARTICULOS!$E:$E,0)),""),"")</f>
        <v>#REF!</v>
      </c>
    </row>
    <row r="587" spans="1:6" x14ac:dyDescent="0.3">
      <c r="A587" s="11" t="e">
        <f>IF(#REF!&gt;=5,#REF!,"")</f>
        <v>#REF!</v>
      </c>
      <c r="B587" s="8">
        <v>13089003</v>
      </c>
      <c r="C587" s="8" t="s">
        <v>157</v>
      </c>
      <c r="D587" s="13">
        <v>0</v>
      </c>
      <c r="E587" s="15" t="s">
        <v>65</v>
      </c>
      <c r="F587" s="16" t="e">
        <f>IF(#REF!&gt;=5,IFERROR(D587*_xlfn.SINGLE(_xlfn.XLOOKUP(B587,MA_ARTICULOS!$A:$A,MA_ARTICULOS!$E:$E,0)),""),"")</f>
        <v>#REF!</v>
      </c>
    </row>
    <row r="588" spans="1:6" x14ac:dyDescent="0.3">
      <c r="A588" s="11" t="e">
        <f>IF(#REF!&gt;=5,#REF!,"")</f>
        <v>#REF!</v>
      </c>
      <c r="B588" s="8">
        <v>13089004</v>
      </c>
      <c r="C588" s="8" t="s">
        <v>158</v>
      </c>
      <c r="D588" s="13">
        <v>0</v>
      </c>
      <c r="E588" s="15" t="s">
        <v>65</v>
      </c>
      <c r="F588" s="16" t="e">
        <f>IF(#REF!&gt;=5,IFERROR(D588*_xlfn.SINGLE(_xlfn.XLOOKUP(B588,MA_ARTICULOS!$A:$A,MA_ARTICULOS!$E:$E,0)),""),"")</f>
        <v>#REF!</v>
      </c>
    </row>
    <row r="589" spans="1:6" x14ac:dyDescent="0.3">
      <c r="A589" s="11" t="e">
        <f>IF(#REF!&gt;=5,#REF!,"")</f>
        <v>#REF!</v>
      </c>
      <c r="B589" s="8">
        <v>13089005</v>
      </c>
      <c r="C589" s="8" t="s">
        <v>159</v>
      </c>
      <c r="D589" s="13">
        <v>0</v>
      </c>
      <c r="E589" s="15" t="s">
        <v>65</v>
      </c>
      <c r="F589" s="16" t="e">
        <f>IF(#REF!&gt;=5,IFERROR(D589*_xlfn.SINGLE(_xlfn.XLOOKUP(B589,MA_ARTICULOS!$A:$A,MA_ARTICULOS!$E:$E,0)),""),"")</f>
        <v>#REF!</v>
      </c>
    </row>
    <row r="590" spans="1:6" x14ac:dyDescent="0.3">
      <c r="A590" s="11" t="e">
        <f>IF(#REF!&gt;=5,#REF!,"")</f>
        <v>#REF!</v>
      </c>
      <c r="B590" s="8">
        <v>13089006</v>
      </c>
      <c r="C590" s="8" t="s">
        <v>160</v>
      </c>
      <c r="D590" s="13">
        <v>0</v>
      </c>
      <c r="E590" s="15" t="s">
        <v>65</v>
      </c>
      <c r="F590" s="16" t="e">
        <f>IF(#REF!&gt;=5,IFERROR(D590*_xlfn.SINGLE(_xlfn.XLOOKUP(B590,MA_ARTICULOS!$A:$A,MA_ARTICULOS!$E:$E,0)),""),"")</f>
        <v>#REF!</v>
      </c>
    </row>
    <row r="591" spans="1:6" x14ac:dyDescent="0.3">
      <c r="A591" s="11" t="e">
        <f>IF(#REF!&gt;=5,#REF!,"")</f>
        <v>#REF!</v>
      </c>
      <c r="B591" s="8">
        <v>13089007</v>
      </c>
      <c r="C591" s="8" t="s">
        <v>161</v>
      </c>
      <c r="D591" s="13">
        <v>0</v>
      </c>
      <c r="E591" s="15" t="s">
        <v>65</v>
      </c>
      <c r="F591" s="16" t="e">
        <f>IF(#REF!&gt;=5,IFERROR(D591*_xlfn.SINGLE(_xlfn.XLOOKUP(B591,MA_ARTICULOS!$A:$A,MA_ARTICULOS!$E:$E,0)),""),"")</f>
        <v>#REF!</v>
      </c>
    </row>
    <row r="592" spans="1:6" x14ac:dyDescent="0.3">
      <c r="A592" s="11" t="e">
        <f>IF(#REF!&gt;=5,#REF!,"")</f>
        <v>#REF!</v>
      </c>
      <c r="B592" s="8">
        <v>13090001</v>
      </c>
      <c r="C592" s="8" t="s">
        <v>162</v>
      </c>
      <c r="D592" s="13">
        <v>0</v>
      </c>
      <c r="E592" s="15" t="s">
        <v>65</v>
      </c>
      <c r="F592" s="16" t="e">
        <f>IF(#REF!&gt;=5,IFERROR(D592*_xlfn.SINGLE(_xlfn.XLOOKUP(B592,MA_ARTICULOS!$A:$A,MA_ARTICULOS!$E:$E,0)),""),"")</f>
        <v>#REF!</v>
      </c>
    </row>
    <row r="593" spans="1:6" x14ac:dyDescent="0.3">
      <c r="A593" s="11" t="e">
        <f>IF(#REF!&gt;=5,#REF!,"")</f>
        <v>#REF!</v>
      </c>
      <c r="B593" s="8">
        <v>13090002</v>
      </c>
      <c r="C593" s="8" t="s">
        <v>163</v>
      </c>
      <c r="D593" s="13">
        <v>0</v>
      </c>
      <c r="E593" s="15" t="s">
        <v>65</v>
      </c>
      <c r="F593" s="16" t="e">
        <f>IF(#REF!&gt;=5,IFERROR(D593*_xlfn.SINGLE(_xlfn.XLOOKUP(B593,MA_ARTICULOS!$A:$A,MA_ARTICULOS!$E:$E,0)),""),"")</f>
        <v>#REF!</v>
      </c>
    </row>
    <row r="594" spans="1:6" x14ac:dyDescent="0.3">
      <c r="A594" s="11" t="e">
        <f>IF(#REF!&gt;=5,#REF!,"")</f>
        <v>#REF!</v>
      </c>
      <c r="B594" s="8">
        <v>13099001</v>
      </c>
      <c r="C594" s="8" t="s">
        <v>164</v>
      </c>
      <c r="D594" s="13">
        <v>0</v>
      </c>
      <c r="E594" s="15" t="s">
        <v>65</v>
      </c>
      <c r="F594" s="16" t="e">
        <f>IF(#REF!&gt;=5,IFERROR(D594*_xlfn.SINGLE(_xlfn.XLOOKUP(B594,MA_ARTICULOS!$A:$A,MA_ARTICULOS!$E:$E,0)),""),"")</f>
        <v>#REF!</v>
      </c>
    </row>
    <row r="595" spans="1:6" x14ac:dyDescent="0.3">
      <c r="A595" s="11" t="e">
        <f>IF(#REF!&gt;=5,#REF!,"")</f>
        <v>#REF!</v>
      </c>
      <c r="B595" s="8">
        <v>13099002</v>
      </c>
      <c r="C595" s="8" t="s">
        <v>165</v>
      </c>
      <c r="D595" s="13">
        <v>0</v>
      </c>
      <c r="E595" s="15" t="s">
        <v>65</v>
      </c>
      <c r="F595" s="16" t="e">
        <f>IF(#REF!&gt;=5,IFERROR(D595*_xlfn.SINGLE(_xlfn.XLOOKUP(B595,MA_ARTICULOS!$A:$A,MA_ARTICULOS!$E:$E,0)),""),"")</f>
        <v>#REF!</v>
      </c>
    </row>
    <row r="596" spans="1:6" x14ac:dyDescent="0.3">
      <c r="A596" s="11" t="e">
        <f>IF(#REF!&gt;=5,#REF!,"")</f>
        <v>#REF!</v>
      </c>
      <c r="B596" s="8">
        <v>13110001</v>
      </c>
      <c r="C596" s="8" t="s">
        <v>166</v>
      </c>
      <c r="D596" s="13">
        <v>0</v>
      </c>
      <c r="E596" s="15" t="s">
        <v>65</v>
      </c>
      <c r="F596" s="16" t="e">
        <f>IF(#REF!&gt;=5,IFERROR(D596*_xlfn.SINGLE(_xlfn.XLOOKUP(B596,MA_ARTICULOS!$A:$A,MA_ARTICULOS!$E:$E,0)),""),"")</f>
        <v>#REF!</v>
      </c>
    </row>
    <row r="597" spans="1:6" x14ac:dyDescent="0.3">
      <c r="A597" s="11" t="e">
        <f>IF(#REF!&gt;=5,#REF!,"")</f>
        <v>#REF!</v>
      </c>
      <c r="B597" s="8">
        <v>13110002</v>
      </c>
      <c r="C597" s="8" t="s">
        <v>167</v>
      </c>
      <c r="D597" s="13">
        <v>0</v>
      </c>
      <c r="E597" s="15" t="s">
        <v>65</v>
      </c>
      <c r="F597" s="16" t="e">
        <f>IF(#REF!&gt;=5,IFERROR(D597*_xlfn.SINGLE(_xlfn.XLOOKUP(B597,MA_ARTICULOS!$A:$A,MA_ARTICULOS!$E:$E,0)),""),"")</f>
        <v>#REF!</v>
      </c>
    </row>
    <row r="598" spans="1:6" x14ac:dyDescent="0.3">
      <c r="A598" s="11" t="e">
        <f>IF(#REF!&gt;=5,#REF!,"")</f>
        <v>#REF!</v>
      </c>
      <c r="B598" s="8">
        <v>13110003</v>
      </c>
      <c r="C598" s="8" t="s">
        <v>168</v>
      </c>
      <c r="D598" s="13">
        <v>0</v>
      </c>
      <c r="E598" s="15" t="s">
        <v>65</v>
      </c>
      <c r="F598" s="16" t="e">
        <f>IF(#REF!&gt;=5,IFERROR(D598*_xlfn.SINGLE(_xlfn.XLOOKUP(B598,MA_ARTICULOS!$A:$A,MA_ARTICULOS!$E:$E,0)),""),"")</f>
        <v>#REF!</v>
      </c>
    </row>
    <row r="599" spans="1:6" x14ac:dyDescent="0.3">
      <c r="A599" s="11" t="e">
        <f>IF(#REF!&gt;=5,#REF!,"")</f>
        <v>#REF!</v>
      </c>
      <c r="B599" s="8">
        <v>13110004</v>
      </c>
      <c r="C599" s="8" t="s">
        <v>169</v>
      </c>
      <c r="D599" s="13">
        <v>0</v>
      </c>
      <c r="E599" s="15" t="s">
        <v>65</v>
      </c>
      <c r="F599" s="16" t="e">
        <f>IF(#REF!&gt;=5,IFERROR(D599*_xlfn.SINGLE(_xlfn.XLOOKUP(B599,MA_ARTICULOS!$A:$A,MA_ARTICULOS!$E:$E,0)),""),"")</f>
        <v>#REF!</v>
      </c>
    </row>
    <row r="600" spans="1:6" x14ac:dyDescent="0.3">
      <c r="A600" s="11" t="e">
        <f>IF(#REF!&gt;=5,#REF!,"")</f>
        <v>#REF!</v>
      </c>
      <c r="B600" s="8">
        <v>13130001</v>
      </c>
      <c r="C600" s="8" t="s">
        <v>170</v>
      </c>
      <c r="D600" s="13">
        <v>0</v>
      </c>
      <c r="E600" s="15" t="s">
        <v>65</v>
      </c>
      <c r="F600" s="16" t="e">
        <f>IF(#REF!&gt;=5,IFERROR(D600*_xlfn.SINGLE(_xlfn.XLOOKUP(B600,MA_ARTICULOS!$A:$A,MA_ARTICULOS!$E:$E,0)),""),"")</f>
        <v>#REF!</v>
      </c>
    </row>
    <row r="601" spans="1:6" x14ac:dyDescent="0.3">
      <c r="A601" s="11" t="e">
        <f>IF(#REF!&gt;=5,#REF!,"")</f>
        <v>#REF!</v>
      </c>
      <c r="B601" s="8">
        <v>13130002</v>
      </c>
      <c r="C601" s="8" t="s">
        <v>171</v>
      </c>
      <c r="D601" s="13">
        <v>0</v>
      </c>
      <c r="E601" s="15" t="s">
        <v>65</v>
      </c>
      <c r="F601" s="16" t="e">
        <f>IF(#REF!&gt;=5,IFERROR(D601*_xlfn.SINGLE(_xlfn.XLOOKUP(B601,MA_ARTICULOS!$A:$A,MA_ARTICULOS!$E:$E,0)),""),"")</f>
        <v>#REF!</v>
      </c>
    </row>
    <row r="602" spans="1:6" x14ac:dyDescent="0.3">
      <c r="A602" s="11" t="e">
        <f>IF(#REF!&gt;=5,#REF!,"")</f>
        <v>#REF!</v>
      </c>
      <c r="B602" s="8">
        <v>13130003</v>
      </c>
      <c r="C602" s="8" t="s">
        <v>172</v>
      </c>
      <c r="D602" s="13">
        <v>0</v>
      </c>
      <c r="E602" s="15" t="s">
        <v>65</v>
      </c>
      <c r="F602" s="16" t="e">
        <f>IF(#REF!&gt;=5,IFERROR(D602*_xlfn.SINGLE(_xlfn.XLOOKUP(B602,MA_ARTICULOS!$A:$A,MA_ARTICULOS!$E:$E,0)),""),"")</f>
        <v>#REF!</v>
      </c>
    </row>
    <row r="603" spans="1:6" x14ac:dyDescent="0.3">
      <c r="A603" s="11" t="e">
        <f>IF(#REF!&gt;=5,#REF!,"")</f>
        <v>#REF!</v>
      </c>
      <c r="B603" s="8">
        <v>23080001</v>
      </c>
      <c r="C603" s="8" t="s">
        <v>173</v>
      </c>
      <c r="D603" s="13">
        <v>0</v>
      </c>
      <c r="E603" s="15" t="s">
        <v>65</v>
      </c>
      <c r="F603" s="16" t="e">
        <f>IF(#REF!&gt;=5,IFERROR(D603*_xlfn.SINGLE(_xlfn.XLOOKUP(B603,MA_ARTICULOS!$A:$A,MA_ARTICULOS!$E:$E,0)),""),"")</f>
        <v>#REF!</v>
      </c>
    </row>
    <row r="604" spans="1:6" x14ac:dyDescent="0.3">
      <c r="A604" s="11" t="e">
        <f>IF(#REF!&gt;=5,#REF!,"")</f>
        <v>#REF!</v>
      </c>
      <c r="B604" s="8">
        <v>23080002</v>
      </c>
      <c r="C604" s="8" t="s">
        <v>174</v>
      </c>
      <c r="D604" s="13">
        <v>0</v>
      </c>
      <c r="E604" s="15" t="s">
        <v>65</v>
      </c>
      <c r="F604" s="16" t="e">
        <f>IF(#REF!&gt;=5,IFERROR(D604*_xlfn.SINGLE(_xlfn.XLOOKUP(B604,MA_ARTICULOS!$A:$A,MA_ARTICULOS!$E:$E,0)),""),"")</f>
        <v>#REF!</v>
      </c>
    </row>
    <row r="605" spans="1:6" x14ac:dyDescent="0.3">
      <c r="A605" s="11" t="e">
        <f>IF(#REF!&gt;=5,#REF!,"")</f>
        <v>#REF!</v>
      </c>
      <c r="B605" s="8">
        <v>23080003</v>
      </c>
      <c r="C605" s="8" t="s">
        <v>175</v>
      </c>
      <c r="D605" s="13">
        <v>0</v>
      </c>
      <c r="E605" s="15" t="s">
        <v>65</v>
      </c>
      <c r="F605" s="16" t="e">
        <f>IF(#REF!&gt;=5,IFERROR(D605*_xlfn.SINGLE(_xlfn.XLOOKUP(B605,MA_ARTICULOS!$A:$A,MA_ARTICULOS!$E:$E,0)),""),"")</f>
        <v>#REF!</v>
      </c>
    </row>
    <row r="606" spans="1:6" x14ac:dyDescent="0.3">
      <c r="A606" s="11" t="e">
        <f>IF(#REF!&gt;=5,#REF!,"")</f>
        <v>#REF!</v>
      </c>
      <c r="B606" s="8">
        <v>23080004</v>
      </c>
      <c r="C606" s="8" t="s">
        <v>176</v>
      </c>
      <c r="D606" s="13">
        <v>0</v>
      </c>
      <c r="E606" s="15" t="s">
        <v>65</v>
      </c>
      <c r="F606" s="16" t="e">
        <f>IF(#REF!&gt;=5,IFERROR(D606*_xlfn.SINGLE(_xlfn.XLOOKUP(B606,MA_ARTICULOS!$A:$A,MA_ARTICULOS!$E:$E,0)),""),"")</f>
        <v>#REF!</v>
      </c>
    </row>
    <row r="607" spans="1:6" x14ac:dyDescent="0.3">
      <c r="A607" s="11" t="e">
        <f>IF(#REF!&gt;=5,#REF!,"")</f>
        <v>#REF!</v>
      </c>
      <c r="B607" s="8">
        <v>23080005</v>
      </c>
      <c r="C607" s="8" t="s">
        <v>177</v>
      </c>
      <c r="D607" s="13">
        <v>0</v>
      </c>
      <c r="E607" s="15" t="s">
        <v>65</v>
      </c>
      <c r="F607" s="16" t="e">
        <f>IF(#REF!&gt;=5,IFERROR(D607*_xlfn.SINGLE(_xlfn.XLOOKUP(B607,MA_ARTICULOS!$A:$A,MA_ARTICULOS!$E:$E,0)),""),"")</f>
        <v>#REF!</v>
      </c>
    </row>
    <row r="608" spans="1:6" x14ac:dyDescent="0.3">
      <c r="A608" s="11" t="e">
        <f>IF(#REF!&gt;=5,#REF!,"")</f>
        <v>#REF!</v>
      </c>
      <c r="B608" s="8">
        <v>23080006</v>
      </c>
      <c r="C608" s="8" t="s">
        <v>178</v>
      </c>
      <c r="D608" s="13">
        <v>0</v>
      </c>
      <c r="E608" s="15" t="s">
        <v>65</v>
      </c>
      <c r="F608" s="16" t="e">
        <f>IF(#REF!&gt;=5,IFERROR(D608*_xlfn.SINGLE(_xlfn.XLOOKUP(B608,MA_ARTICULOS!$A:$A,MA_ARTICULOS!$E:$E,0)),""),"")</f>
        <v>#REF!</v>
      </c>
    </row>
    <row r="609" spans="1:6" x14ac:dyDescent="0.3">
      <c r="A609" s="11" t="e">
        <f>IF(#REF!&gt;=5,#REF!,"")</f>
        <v>#REF!</v>
      </c>
      <c r="B609" s="8">
        <v>23080007</v>
      </c>
      <c r="C609" s="8" t="s">
        <v>179</v>
      </c>
      <c r="D609" s="13">
        <v>0</v>
      </c>
      <c r="E609" s="15" t="s">
        <v>65</v>
      </c>
      <c r="F609" s="16" t="e">
        <f>IF(#REF!&gt;=5,IFERROR(D609*_xlfn.SINGLE(_xlfn.XLOOKUP(B609,MA_ARTICULOS!$A:$A,MA_ARTICULOS!$E:$E,0)),""),"")</f>
        <v>#REF!</v>
      </c>
    </row>
    <row r="610" spans="1:6" x14ac:dyDescent="0.3">
      <c r="A610" s="11" t="e">
        <f>IF(#REF!&gt;=5,#REF!,"")</f>
        <v>#REF!</v>
      </c>
      <c r="B610" s="8">
        <v>101</v>
      </c>
      <c r="C610" s="8" t="s">
        <v>180</v>
      </c>
      <c r="D610" s="13">
        <v>0</v>
      </c>
      <c r="E610" s="15" t="s">
        <v>65</v>
      </c>
      <c r="F610" s="16" t="e">
        <f>IF(#REF!&gt;=5,IFERROR(D610*_xlfn.SINGLE(_xlfn.XLOOKUP(B610,MA_ARTICULOS!$A:$A,MA_ARTICULOS!$E:$E,0)),""),"")</f>
        <v>#REF!</v>
      </c>
    </row>
    <row r="611" spans="1:6" x14ac:dyDescent="0.3">
      <c r="A611" s="11" t="e">
        <f>IF(#REF!&gt;=5,#REF!,"")</f>
        <v>#REF!</v>
      </c>
      <c r="B611" s="8">
        <v>102</v>
      </c>
      <c r="C611" s="8" t="s">
        <v>181</v>
      </c>
      <c r="D611" s="13">
        <v>0</v>
      </c>
      <c r="E611" s="15" t="s">
        <v>65</v>
      </c>
      <c r="F611" s="16" t="e">
        <f>IF(#REF!&gt;=5,IFERROR(D611*_xlfn.SINGLE(_xlfn.XLOOKUP(B611,MA_ARTICULOS!$A:$A,MA_ARTICULOS!$E:$E,0)),""),"")</f>
        <v>#REF!</v>
      </c>
    </row>
    <row r="612" spans="1:6" x14ac:dyDescent="0.3">
      <c r="A612" s="11" t="e">
        <f>IF(#REF!&gt;=5,#REF!,"")</f>
        <v>#REF!</v>
      </c>
      <c r="B612" s="8">
        <v>104</v>
      </c>
      <c r="C612" s="8" t="s">
        <v>182</v>
      </c>
      <c r="D612" s="13">
        <v>0</v>
      </c>
      <c r="E612" s="15" t="s">
        <v>65</v>
      </c>
      <c r="F612" s="16" t="e">
        <f>IF(#REF!&gt;=5,IFERROR(D612*_xlfn.SINGLE(_xlfn.XLOOKUP(B612,MA_ARTICULOS!$A:$A,MA_ARTICULOS!$E:$E,0)),""),"")</f>
        <v>#REF!</v>
      </c>
    </row>
    <row r="613" spans="1:6" x14ac:dyDescent="0.3">
      <c r="A613" s="11" t="e">
        <f>IF(#REF!&gt;=5,#REF!,"")</f>
        <v>#REF!</v>
      </c>
      <c r="B613" s="8">
        <v>105</v>
      </c>
      <c r="C613" s="8" t="s">
        <v>183</v>
      </c>
      <c r="D613" s="13">
        <v>0</v>
      </c>
      <c r="E613" s="15" t="s">
        <v>65</v>
      </c>
      <c r="F613" s="16" t="e">
        <f>IF(#REF!&gt;=5,IFERROR(D613*_xlfn.SINGLE(_xlfn.XLOOKUP(B613,MA_ARTICULOS!$A:$A,MA_ARTICULOS!$E:$E,0)),""),"")</f>
        <v>#REF!</v>
      </c>
    </row>
    <row r="614" spans="1:6" x14ac:dyDescent="0.3">
      <c r="A614" s="11" t="e">
        <f>IF(#REF!&gt;=5,#REF!,"")</f>
        <v>#REF!</v>
      </c>
      <c r="B614" s="8">
        <v>106</v>
      </c>
      <c r="C614" s="8" t="s">
        <v>184</v>
      </c>
      <c r="D614" s="13">
        <v>0</v>
      </c>
      <c r="E614" s="15" t="s">
        <v>65</v>
      </c>
      <c r="F614" s="16" t="e">
        <f>IF(#REF!&gt;=5,IFERROR(D614*_xlfn.SINGLE(_xlfn.XLOOKUP(B614,MA_ARTICULOS!$A:$A,MA_ARTICULOS!$E:$E,0)),""),"")</f>
        <v>#REF!</v>
      </c>
    </row>
    <row r="615" spans="1:6" x14ac:dyDescent="0.3">
      <c r="A615" s="11" t="e">
        <f>IF(#REF!&gt;=5,#REF!,"")</f>
        <v>#REF!</v>
      </c>
      <c r="B615" s="8">
        <v>120</v>
      </c>
      <c r="C615" s="8" t="s">
        <v>185</v>
      </c>
      <c r="D615" s="13">
        <v>0</v>
      </c>
      <c r="E615" s="15" t="s">
        <v>65</v>
      </c>
      <c r="F615" s="16" t="e">
        <f>IF(#REF!&gt;=5,IFERROR(D615*_xlfn.SINGLE(_xlfn.XLOOKUP(B615,MA_ARTICULOS!$A:$A,MA_ARTICULOS!$E:$E,0)),""),"")</f>
        <v>#REF!</v>
      </c>
    </row>
    <row r="616" spans="1:6" x14ac:dyDescent="0.3">
      <c r="A616" s="11" t="e">
        <f>IF(#REF!&gt;=5,#REF!,"")</f>
        <v>#REF!</v>
      </c>
      <c r="B616" s="8">
        <v>121</v>
      </c>
      <c r="C616" s="8" t="s">
        <v>186</v>
      </c>
      <c r="D616" s="13">
        <v>0</v>
      </c>
      <c r="E616" s="15" t="s">
        <v>65</v>
      </c>
      <c r="F616" s="16" t="e">
        <f>IF(#REF!&gt;=5,IFERROR(D616*_xlfn.SINGLE(_xlfn.XLOOKUP(B616,MA_ARTICULOS!$A:$A,MA_ARTICULOS!$E:$E,0)),""),"")</f>
        <v>#REF!</v>
      </c>
    </row>
    <row r="617" spans="1:6" x14ac:dyDescent="0.3">
      <c r="A617" s="18" t="s">
        <v>216</v>
      </c>
      <c r="B617" s="14"/>
      <c r="C617" s="14"/>
      <c r="D617" s="14"/>
      <c r="E617" s="14"/>
      <c r="F617" s="14"/>
    </row>
    <row r="618" spans="1:6" x14ac:dyDescent="0.3">
      <c r="A618" s="11" t="e">
        <f>IF(#REF!&gt;=6,#REF!,"")</f>
        <v>#REF!</v>
      </c>
      <c r="B618" s="8">
        <v>11010001</v>
      </c>
      <c r="C618" s="8" t="s">
        <v>64</v>
      </c>
      <c r="D618" s="13">
        <v>0</v>
      </c>
      <c r="E618" s="15" t="s">
        <v>65</v>
      </c>
      <c r="F618" s="16" t="e">
        <f>IF(#REF!&gt;=6,IFERROR(D618*_xlfn.SINGLE(_xlfn.XLOOKUP(B618,MA_ARTICULOS!$A:$A,MA_ARTICULOS!$E:$E,0)),""),"")</f>
        <v>#REF!</v>
      </c>
    </row>
    <row r="619" spans="1:6" x14ac:dyDescent="0.3">
      <c r="A619" s="11" t="e">
        <f>IF(#REF!&gt;=6,#REF!,"")</f>
        <v>#REF!</v>
      </c>
      <c r="B619" s="8">
        <v>11010002</v>
      </c>
      <c r="C619" s="8" t="s">
        <v>66</v>
      </c>
      <c r="D619" s="13">
        <v>0</v>
      </c>
      <c r="E619" s="15" t="s">
        <v>65</v>
      </c>
      <c r="F619" s="16" t="e">
        <f>IF(#REF!&gt;=6,IFERROR(D619*_xlfn.SINGLE(_xlfn.XLOOKUP(B619,MA_ARTICULOS!$A:$A,MA_ARTICULOS!$E:$E,0)),""),"")</f>
        <v>#REF!</v>
      </c>
    </row>
    <row r="620" spans="1:6" x14ac:dyDescent="0.3">
      <c r="A620" s="11" t="e">
        <f>IF(#REF!&gt;=6,#REF!,"")</f>
        <v>#REF!</v>
      </c>
      <c r="B620" s="8">
        <v>11010003</v>
      </c>
      <c r="C620" s="8" t="s">
        <v>67</v>
      </c>
      <c r="D620" s="13">
        <v>0</v>
      </c>
      <c r="E620" s="15" t="s">
        <v>65</v>
      </c>
      <c r="F620" s="16" t="e">
        <f>IF(#REF!&gt;=6,IFERROR(D620*_xlfn.SINGLE(_xlfn.XLOOKUP(B620,MA_ARTICULOS!$A:$A,MA_ARTICULOS!$E:$E,0)),""),"")</f>
        <v>#REF!</v>
      </c>
    </row>
    <row r="621" spans="1:6" x14ac:dyDescent="0.3">
      <c r="A621" s="11" t="e">
        <f>IF(#REF!&gt;=6,#REF!,"")</f>
        <v>#REF!</v>
      </c>
      <c r="B621" s="8">
        <v>11010004</v>
      </c>
      <c r="C621" s="8" t="s">
        <v>68</v>
      </c>
      <c r="D621" s="13">
        <v>0</v>
      </c>
      <c r="E621" s="15" t="s">
        <v>65</v>
      </c>
      <c r="F621" s="16" t="e">
        <f>IF(#REF!&gt;=6,IFERROR(D621*_xlfn.SINGLE(_xlfn.XLOOKUP(B621,MA_ARTICULOS!$A:$A,MA_ARTICULOS!$E:$E,0)),""),"")</f>
        <v>#REF!</v>
      </c>
    </row>
    <row r="622" spans="1:6" x14ac:dyDescent="0.3">
      <c r="A622" s="11" t="e">
        <f>IF(#REF!&gt;=6,#REF!,"")</f>
        <v>#REF!</v>
      </c>
      <c r="B622" s="8">
        <v>11010005</v>
      </c>
      <c r="C622" s="8" t="s">
        <v>69</v>
      </c>
      <c r="D622" s="13">
        <v>0</v>
      </c>
      <c r="E622" s="15" t="s">
        <v>65</v>
      </c>
      <c r="F622" s="16" t="e">
        <f>IF(#REF!&gt;=6,IFERROR(D622*_xlfn.SINGLE(_xlfn.XLOOKUP(B622,MA_ARTICULOS!$A:$A,MA_ARTICULOS!$E:$E,0)),""),"")</f>
        <v>#REF!</v>
      </c>
    </row>
    <row r="623" spans="1:6" x14ac:dyDescent="0.3">
      <c r="A623" s="11" t="e">
        <f>IF(#REF!&gt;=6,#REF!,"")</f>
        <v>#REF!</v>
      </c>
      <c r="B623" s="8">
        <v>11010007</v>
      </c>
      <c r="C623" s="8" t="s">
        <v>70</v>
      </c>
      <c r="D623" s="13">
        <v>0</v>
      </c>
      <c r="E623" s="15" t="s">
        <v>65</v>
      </c>
      <c r="F623" s="16" t="e">
        <f>IF(#REF!&gt;=6,IFERROR(D623*_xlfn.SINGLE(_xlfn.XLOOKUP(B623,MA_ARTICULOS!$A:$A,MA_ARTICULOS!$E:$E,0)),""),"")</f>
        <v>#REF!</v>
      </c>
    </row>
    <row r="624" spans="1:6" x14ac:dyDescent="0.3">
      <c r="A624" s="11" t="e">
        <f>IF(#REF!&gt;=6,#REF!,"")</f>
        <v>#REF!</v>
      </c>
      <c r="B624" s="8">
        <v>11010008</v>
      </c>
      <c r="C624" s="8" t="s">
        <v>71</v>
      </c>
      <c r="D624" s="13">
        <v>0</v>
      </c>
      <c r="E624" s="15" t="s">
        <v>65</v>
      </c>
      <c r="F624" s="16" t="e">
        <f>IF(#REF!&gt;=6,IFERROR(D624*_xlfn.SINGLE(_xlfn.XLOOKUP(B624,MA_ARTICULOS!$A:$A,MA_ARTICULOS!$E:$E,0)),""),"")</f>
        <v>#REF!</v>
      </c>
    </row>
    <row r="625" spans="1:6" x14ac:dyDescent="0.3">
      <c r="A625" s="11" t="e">
        <f>IF(#REF!&gt;=6,#REF!,"")</f>
        <v>#REF!</v>
      </c>
      <c r="B625" s="8">
        <v>11010009</v>
      </c>
      <c r="C625" s="8" t="s">
        <v>72</v>
      </c>
      <c r="D625" s="13">
        <v>0</v>
      </c>
      <c r="E625" s="15" t="s">
        <v>65</v>
      </c>
      <c r="F625" s="16" t="e">
        <f>IF(#REF!&gt;=6,IFERROR(D625*_xlfn.SINGLE(_xlfn.XLOOKUP(B625,MA_ARTICULOS!$A:$A,MA_ARTICULOS!$E:$E,0)),""),"")</f>
        <v>#REF!</v>
      </c>
    </row>
    <row r="626" spans="1:6" x14ac:dyDescent="0.3">
      <c r="A626" s="11" t="e">
        <f>IF(#REF!&gt;=6,#REF!,"")</f>
        <v>#REF!</v>
      </c>
      <c r="B626" s="8">
        <v>11010010</v>
      </c>
      <c r="C626" s="8" t="s">
        <v>73</v>
      </c>
      <c r="D626" s="13">
        <v>0</v>
      </c>
      <c r="E626" s="15" t="s">
        <v>65</v>
      </c>
      <c r="F626" s="16" t="e">
        <f>IF(#REF!&gt;=6,IFERROR(D626*_xlfn.SINGLE(_xlfn.XLOOKUP(B626,MA_ARTICULOS!$A:$A,MA_ARTICULOS!$E:$E,0)),""),"")</f>
        <v>#REF!</v>
      </c>
    </row>
    <row r="627" spans="1:6" x14ac:dyDescent="0.3">
      <c r="A627" s="11" t="e">
        <f>IF(#REF!&gt;=6,#REF!,"")</f>
        <v>#REF!</v>
      </c>
      <c r="B627" s="8">
        <v>11010011</v>
      </c>
      <c r="C627" s="8" t="s">
        <v>74</v>
      </c>
      <c r="D627" s="13">
        <v>0</v>
      </c>
      <c r="E627" s="15" t="s">
        <v>65</v>
      </c>
      <c r="F627" s="16" t="e">
        <f>IF(#REF!&gt;=6,IFERROR(D627*_xlfn.SINGLE(_xlfn.XLOOKUP(B627,MA_ARTICULOS!$A:$A,MA_ARTICULOS!$E:$E,0)),""),"")</f>
        <v>#REF!</v>
      </c>
    </row>
    <row r="628" spans="1:6" x14ac:dyDescent="0.3">
      <c r="A628" s="11" t="e">
        <f>IF(#REF!&gt;=6,#REF!,"")</f>
        <v>#REF!</v>
      </c>
      <c r="B628" s="8">
        <v>11010013</v>
      </c>
      <c r="C628" s="8" t="s">
        <v>75</v>
      </c>
      <c r="D628" s="13">
        <v>0</v>
      </c>
      <c r="E628" s="15" t="s">
        <v>65</v>
      </c>
      <c r="F628" s="16" t="e">
        <f>IF(#REF!&gt;=6,IFERROR(D628*_xlfn.SINGLE(_xlfn.XLOOKUP(B628,MA_ARTICULOS!$A:$A,MA_ARTICULOS!$E:$E,0)),""),"")</f>
        <v>#REF!</v>
      </c>
    </row>
    <row r="629" spans="1:6" x14ac:dyDescent="0.3">
      <c r="A629" s="11" t="e">
        <f>IF(#REF!&gt;=6,#REF!,"")</f>
        <v>#REF!</v>
      </c>
      <c r="B629" s="8">
        <v>11010014</v>
      </c>
      <c r="C629" s="8" t="s">
        <v>76</v>
      </c>
      <c r="D629" s="13">
        <v>0</v>
      </c>
      <c r="E629" s="15" t="s">
        <v>65</v>
      </c>
      <c r="F629" s="16" t="e">
        <f>IF(#REF!&gt;=6,IFERROR(D629*_xlfn.SINGLE(_xlfn.XLOOKUP(B629,MA_ARTICULOS!$A:$A,MA_ARTICULOS!$E:$E,0)),""),"")</f>
        <v>#REF!</v>
      </c>
    </row>
    <row r="630" spans="1:6" x14ac:dyDescent="0.3">
      <c r="A630" s="11" t="e">
        <f>IF(#REF!&gt;=6,#REF!,"")</f>
        <v>#REF!</v>
      </c>
      <c r="B630" s="8">
        <v>11010015</v>
      </c>
      <c r="C630" s="8" t="s">
        <v>77</v>
      </c>
      <c r="D630" s="13">
        <v>0</v>
      </c>
      <c r="E630" s="15" t="s">
        <v>65</v>
      </c>
      <c r="F630" s="16" t="e">
        <f>IF(#REF!&gt;=6,IFERROR(D630*_xlfn.SINGLE(_xlfn.XLOOKUP(B630,MA_ARTICULOS!$A:$A,MA_ARTICULOS!$E:$E,0)),""),"")</f>
        <v>#REF!</v>
      </c>
    </row>
    <row r="631" spans="1:6" x14ac:dyDescent="0.3">
      <c r="A631" s="11" t="e">
        <f>IF(#REF!&gt;=6,#REF!,"")</f>
        <v>#REF!</v>
      </c>
      <c r="B631" s="8">
        <v>11010018</v>
      </c>
      <c r="C631" s="8" t="s">
        <v>78</v>
      </c>
      <c r="D631" s="13">
        <v>0</v>
      </c>
      <c r="E631" s="15" t="s">
        <v>65</v>
      </c>
      <c r="F631" s="16" t="e">
        <f>IF(#REF!&gt;=6,IFERROR(D631*_xlfn.SINGLE(_xlfn.XLOOKUP(B631,MA_ARTICULOS!$A:$A,MA_ARTICULOS!$E:$E,0)),""),"")</f>
        <v>#REF!</v>
      </c>
    </row>
    <row r="632" spans="1:6" x14ac:dyDescent="0.3">
      <c r="A632" s="11" t="e">
        <f>IF(#REF!&gt;=6,#REF!,"")</f>
        <v>#REF!</v>
      </c>
      <c r="B632" s="8">
        <v>11010019</v>
      </c>
      <c r="C632" s="8" t="s">
        <v>79</v>
      </c>
      <c r="D632" s="13">
        <v>0</v>
      </c>
      <c r="E632" s="15" t="s">
        <v>65</v>
      </c>
      <c r="F632" s="16" t="e">
        <f>IF(#REF!&gt;=6,IFERROR(D632*_xlfn.SINGLE(_xlfn.XLOOKUP(B632,MA_ARTICULOS!$A:$A,MA_ARTICULOS!$E:$E,0)),""),"")</f>
        <v>#REF!</v>
      </c>
    </row>
    <row r="633" spans="1:6" x14ac:dyDescent="0.3">
      <c r="A633" s="11" t="e">
        <f>IF(#REF!&gt;=6,#REF!,"")</f>
        <v>#REF!</v>
      </c>
      <c r="B633" s="8">
        <v>11010020</v>
      </c>
      <c r="C633" s="8" t="s">
        <v>80</v>
      </c>
      <c r="D633" s="13">
        <v>0</v>
      </c>
      <c r="E633" s="15" t="s">
        <v>65</v>
      </c>
      <c r="F633" s="16" t="e">
        <f>IF(#REF!&gt;=6,IFERROR(D633*_xlfn.SINGLE(_xlfn.XLOOKUP(B633,MA_ARTICULOS!$A:$A,MA_ARTICULOS!$E:$E,0)),""),"")</f>
        <v>#REF!</v>
      </c>
    </row>
    <row r="634" spans="1:6" x14ac:dyDescent="0.3">
      <c r="A634" s="11" t="e">
        <f>IF(#REF!&gt;=6,#REF!,"")</f>
        <v>#REF!</v>
      </c>
      <c r="B634" s="8">
        <v>11010022</v>
      </c>
      <c r="C634" s="8" t="s">
        <v>81</v>
      </c>
      <c r="D634" s="13">
        <v>0</v>
      </c>
      <c r="E634" s="15" t="s">
        <v>65</v>
      </c>
      <c r="F634" s="16" t="e">
        <f>IF(#REF!&gt;=6,IFERROR(D634*_xlfn.SINGLE(_xlfn.XLOOKUP(B634,MA_ARTICULOS!$A:$A,MA_ARTICULOS!$E:$E,0)),""),"")</f>
        <v>#REF!</v>
      </c>
    </row>
    <row r="635" spans="1:6" x14ac:dyDescent="0.3">
      <c r="A635" s="11" t="e">
        <f>IF(#REF!&gt;=6,#REF!,"")</f>
        <v>#REF!</v>
      </c>
      <c r="B635" s="8">
        <v>11010023</v>
      </c>
      <c r="C635" s="8" t="s">
        <v>82</v>
      </c>
      <c r="D635" s="13">
        <v>0</v>
      </c>
      <c r="E635" s="15" t="s">
        <v>65</v>
      </c>
      <c r="F635" s="16" t="e">
        <f>IF(#REF!&gt;=6,IFERROR(D635*_xlfn.SINGLE(_xlfn.XLOOKUP(B635,MA_ARTICULOS!$A:$A,MA_ARTICULOS!$E:$E,0)),""),"")</f>
        <v>#REF!</v>
      </c>
    </row>
    <row r="636" spans="1:6" x14ac:dyDescent="0.3">
      <c r="A636" s="11" t="e">
        <f>IF(#REF!&gt;=6,#REF!,"")</f>
        <v>#REF!</v>
      </c>
      <c r="B636" s="8">
        <v>11010027</v>
      </c>
      <c r="C636" s="8" t="s">
        <v>83</v>
      </c>
      <c r="D636" s="13">
        <v>0</v>
      </c>
      <c r="E636" s="15" t="s">
        <v>65</v>
      </c>
      <c r="F636" s="16" t="e">
        <f>IF(#REF!&gt;=6,IFERROR(D636*_xlfn.SINGLE(_xlfn.XLOOKUP(B636,MA_ARTICULOS!$A:$A,MA_ARTICULOS!$E:$E,0)),""),"")</f>
        <v>#REF!</v>
      </c>
    </row>
    <row r="637" spans="1:6" x14ac:dyDescent="0.3">
      <c r="A637" s="11" t="e">
        <f>IF(#REF!&gt;=6,#REF!,"")</f>
        <v>#REF!</v>
      </c>
      <c r="B637" s="8">
        <v>11010201</v>
      </c>
      <c r="C637" s="8" t="s">
        <v>84</v>
      </c>
      <c r="D637" s="13">
        <v>0</v>
      </c>
      <c r="E637" s="15" t="s">
        <v>65</v>
      </c>
      <c r="F637" s="16" t="e">
        <f>IF(#REF!&gt;=6,IFERROR(D637*_xlfn.SINGLE(_xlfn.XLOOKUP(B637,MA_ARTICULOS!$A:$A,MA_ARTICULOS!$E:$E,0)),""),"")</f>
        <v>#REF!</v>
      </c>
    </row>
    <row r="638" spans="1:6" x14ac:dyDescent="0.3">
      <c r="A638" s="11" t="e">
        <f>IF(#REF!&gt;=6,#REF!,"")</f>
        <v>#REF!</v>
      </c>
      <c r="B638" s="8">
        <v>11010202</v>
      </c>
      <c r="C638" s="8" t="s">
        <v>85</v>
      </c>
      <c r="D638" s="13">
        <v>0</v>
      </c>
      <c r="E638" s="15" t="s">
        <v>65</v>
      </c>
      <c r="F638" s="16" t="e">
        <f>IF(#REF!&gt;=6,IFERROR(D638*_xlfn.SINGLE(_xlfn.XLOOKUP(B638,MA_ARTICULOS!$A:$A,MA_ARTICULOS!$E:$E,0)),""),"")</f>
        <v>#REF!</v>
      </c>
    </row>
    <row r="639" spans="1:6" x14ac:dyDescent="0.3">
      <c r="A639" s="11" t="e">
        <f>IF(#REF!&gt;=6,#REF!,"")</f>
        <v>#REF!</v>
      </c>
      <c r="B639" s="8">
        <v>11010203</v>
      </c>
      <c r="C639" s="8" t="s">
        <v>86</v>
      </c>
      <c r="D639" s="13">
        <v>0</v>
      </c>
      <c r="E639" s="15" t="s">
        <v>65</v>
      </c>
      <c r="F639" s="16" t="e">
        <f>IF(#REF!&gt;=6,IFERROR(D639*_xlfn.SINGLE(_xlfn.XLOOKUP(B639,MA_ARTICULOS!$A:$A,MA_ARTICULOS!$E:$E,0)),""),"")</f>
        <v>#REF!</v>
      </c>
    </row>
    <row r="640" spans="1:6" x14ac:dyDescent="0.3">
      <c r="A640" s="11" t="e">
        <f>IF(#REF!&gt;=6,#REF!,"")</f>
        <v>#REF!</v>
      </c>
      <c r="B640" s="8">
        <v>11010204</v>
      </c>
      <c r="C640" s="8" t="s">
        <v>87</v>
      </c>
      <c r="D640" s="13">
        <v>0</v>
      </c>
      <c r="E640" s="15" t="s">
        <v>65</v>
      </c>
      <c r="F640" s="16" t="e">
        <f>IF(#REF!&gt;=6,IFERROR(D640*_xlfn.SINGLE(_xlfn.XLOOKUP(B640,MA_ARTICULOS!$A:$A,MA_ARTICULOS!$E:$E,0)),""),"")</f>
        <v>#REF!</v>
      </c>
    </row>
    <row r="641" spans="1:6" x14ac:dyDescent="0.3">
      <c r="A641" s="11" t="e">
        <f>IF(#REF!&gt;=6,#REF!,"")</f>
        <v>#REF!</v>
      </c>
      <c r="B641" s="8">
        <v>11010301</v>
      </c>
      <c r="C641" s="8" t="s">
        <v>88</v>
      </c>
      <c r="D641" s="13">
        <v>0</v>
      </c>
      <c r="E641" s="15" t="s">
        <v>65</v>
      </c>
      <c r="F641" s="16" t="e">
        <f>IF(#REF!&gt;=6,IFERROR(D641*_xlfn.SINGLE(_xlfn.XLOOKUP(B641,MA_ARTICULOS!$A:$A,MA_ARTICULOS!$E:$E,0)),""),"")</f>
        <v>#REF!</v>
      </c>
    </row>
    <row r="642" spans="1:6" x14ac:dyDescent="0.3">
      <c r="A642" s="11" t="e">
        <f>IF(#REF!&gt;=6,#REF!,"")</f>
        <v>#REF!</v>
      </c>
      <c r="B642" s="8">
        <v>11010302</v>
      </c>
      <c r="C642" s="8" t="s">
        <v>89</v>
      </c>
      <c r="D642" s="13">
        <v>0</v>
      </c>
      <c r="E642" s="15" t="s">
        <v>65</v>
      </c>
      <c r="F642" s="16" t="e">
        <f>IF(#REF!&gt;=6,IFERROR(D642*_xlfn.SINGLE(_xlfn.XLOOKUP(B642,MA_ARTICULOS!$A:$A,MA_ARTICULOS!$E:$E,0)),""),"")</f>
        <v>#REF!</v>
      </c>
    </row>
    <row r="643" spans="1:6" x14ac:dyDescent="0.3">
      <c r="A643" s="11" t="e">
        <f>IF(#REF!&gt;=6,#REF!,"")</f>
        <v>#REF!</v>
      </c>
      <c r="B643" s="8">
        <v>11010303</v>
      </c>
      <c r="C643" s="8" t="s">
        <v>90</v>
      </c>
      <c r="D643" s="13">
        <v>0</v>
      </c>
      <c r="E643" s="15" t="s">
        <v>65</v>
      </c>
      <c r="F643" s="16" t="e">
        <f>IF(#REF!&gt;=6,IFERROR(D643*_xlfn.SINGLE(_xlfn.XLOOKUP(B643,MA_ARTICULOS!$A:$A,MA_ARTICULOS!$E:$E,0)),""),"")</f>
        <v>#REF!</v>
      </c>
    </row>
    <row r="644" spans="1:6" x14ac:dyDescent="0.3">
      <c r="A644" s="11" t="e">
        <f>IF(#REF!&gt;=6,#REF!,"")</f>
        <v>#REF!</v>
      </c>
      <c r="B644" s="8">
        <v>11010304</v>
      </c>
      <c r="C644" s="8" t="s">
        <v>91</v>
      </c>
      <c r="D644" s="13">
        <v>0</v>
      </c>
      <c r="E644" s="15" t="s">
        <v>65</v>
      </c>
      <c r="F644" s="16" t="e">
        <f>IF(#REF!&gt;=6,IFERROR(D644*_xlfn.SINGLE(_xlfn.XLOOKUP(B644,MA_ARTICULOS!$A:$A,MA_ARTICULOS!$E:$E,0)),""),"")</f>
        <v>#REF!</v>
      </c>
    </row>
    <row r="645" spans="1:6" x14ac:dyDescent="0.3">
      <c r="A645" s="11" t="e">
        <f>IF(#REF!&gt;=6,#REF!,"")</f>
        <v>#REF!</v>
      </c>
      <c r="B645" s="8">
        <v>11010305</v>
      </c>
      <c r="C645" s="8" t="s">
        <v>92</v>
      </c>
      <c r="D645" s="13">
        <v>0</v>
      </c>
      <c r="E645" s="15" t="s">
        <v>65</v>
      </c>
      <c r="F645" s="16" t="e">
        <f>IF(#REF!&gt;=6,IFERROR(D645*_xlfn.SINGLE(_xlfn.XLOOKUP(B645,MA_ARTICULOS!$A:$A,MA_ARTICULOS!$E:$E,0)),""),"")</f>
        <v>#REF!</v>
      </c>
    </row>
    <row r="646" spans="1:6" x14ac:dyDescent="0.3">
      <c r="A646" s="11" t="e">
        <f>IF(#REF!&gt;=6,#REF!,"")</f>
        <v>#REF!</v>
      </c>
      <c r="B646" s="8">
        <v>11010306</v>
      </c>
      <c r="C646" s="8" t="s">
        <v>93</v>
      </c>
      <c r="D646" s="13">
        <v>0</v>
      </c>
      <c r="E646" s="15" t="s">
        <v>65</v>
      </c>
      <c r="F646" s="16" t="e">
        <f>IF(#REF!&gt;=6,IFERROR(D646*_xlfn.SINGLE(_xlfn.XLOOKUP(B646,MA_ARTICULOS!$A:$A,MA_ARTICULOS!$E:$E,0)),""),"")</f>
        <v>#REF!</v>
      </c>
    </row>
    <row r="647" spans="1:6" x14ac:dyDescent="0.3">
      <c r="A647" s="11" t="e">
        <f>IF(#REF!&gt;=6,#REF!,"")</f>
        <v>#REF!</v>
      </c>
      <c r="B647" s="8">
        <v>11010307</v>
      </c>
      <c r="C647" s="8" t="s">
        <v>94</v>
      </c>
      <c r="D647" s="13">
        <v>0</v>
      </c>
      <c r="E647" s="15" t="s">
        <v>65</v>
      </c>
      <c r="F647" s="16" t="e">
        <f>IF(#REF!&gt;=6,IFERROR(D647*_xlfn.SINGLE(_xlfn.XLOOKUP(B647,MA_ARTICULOS!$A:$A,MA_ARTICULOS!$E:$E,0)),""),"")</f>
        <v>#REF!</v>
      </c>
    </row>
    <row r="648" spans="1:6" x14ac:dyDescent="0.3">
      <c r="A648" s="11" t="e">
        <f>IF(#REF!&gt;=6,#REF!,"")</f>
        <v>#REF!</v>
      </c>
      <c r="B648" s="8">
        <v>11010308</v>
      </c>
      <c r="C648" s="8" t="s">
        <v>95</v>
      </c>
      <c r="D648" s="13">
        <v>0</v>
      </c>
      <c r="E648" s="15" t="s">
        <v>65</v>
      </c>
      <c r="F648" s="16" t="e">
        <f>IF(#REF!&gt;=6,IFERROR(D648*_xlfn.SINGLE(_xlfn.XLOOKUP(B648,MA_ARTICULOS!$A:$A,MA_ARTICULOS!$E:$E,0)),""),"")</f>
        <v>#REF!</v>
      </c>
    </row>
    <row r="649" spans="1:6" x14ac:dyDescent="0.3">
      <c r="A649" s="11" t="e">
        <f>IF(#REF!&gt;=6,#REF!,"")</f>
        <v>#REF!</v>
      </c>
      <c r="B649" s="8">
        <v>11010309</v>
      </c>
      <c r="C649" s="8" t="s">
        <v>96</v>
      </c>
      <c r="D649" s="13">
        <v>0</v>
      </c>
      <c r="E649" s="15" t="s">
        <v>65</v>
      </c>
      <c r="F649" s="16" t="e">
        <f>IF(#REF!&gt;=6,IFERROR(D649*_xlfn.SINGLE(_xlfn.XLOOKUP(B649,MA_ARTICULOS!$A:$A,MA_ARTICULOS!$E:$E,0)),""),"")</f>
        <v>#REF!</v>
      </c>
    </row>
    <row r="650" spans="1:6" x14ac:dyDescent="0.3">
      <c r="A650" s="11" t="e">
        <f>IF(#REF!&gt;=6,#REF!,"")</f>
        <v>#REF!</v>
      </c>
      <c r="B650" s="8">
        <v>11020001</v>
      </c>
      <c r="C650" s="8" t="s">
        <v>97</v>
      </c>
      <c r="D650" s="13">
        <v>0</v>
      </c>
      <c r="E650" s="15" t="s">
        <v>65</v>
      </c>
      <c r="F650" s="16" t="e">
        <f>IF(#REF!&gt;=6,IFERROR(D650*_xlfn.SINGLE(_xlfn.XLOOKUP(B650,MA_ARTICULOS!$A:$A,MA_ARTICULOS!$E:$E,0)),""),"")</f>
        <v>#REF!</v>
      </c>
    </row>
    <row r="651" spans="1:6" x14ac:dyDescent="0.3">
      <c r="A651" s="11" t="e">
        <f>IF(#REF!&gt;=6,#REF!,"")</f>
        <v>#REF!</v>
      </c>
      <c r="B651" s="8">
        <v>11020002</v>
      </c>
      <c r="C651" s="8" t="s">
        <v>98</v>
      </c>
      <c r="D651" s="13">
        <v>0</v>
      </c>
      <c r="E651" s="15" t="s">
        <v>65</v>
      </c>
      <c r="F651" s="16" t="e">
        <f>IF(#REF!&gt;=6,IFERROR(D651*_xlfn.SINGLE(_xlfn.XLOOKUP(B651,MA_ARTICULOS!$A:$A,MA_ARTICULOS!$E:$E,0)),""),"")</f>
        <v>#REF!</v>
      </c>
    </row>
    <row r="652" spans="1:6" x14ac:dyDescent="0.3">
      <c r="A652" s="11" t="e">
        <f>IF(#REF!&gt;=6,#REF!,"")</f>
        <v>#REF!</v>
      </c>
      <c r="B652" s="8">
        <v>11020003</v>
      </c>
      <c r="C652" s="8" t="s">
        <v>99</v>
      </c>
      <c r="D652" s="13">
        <v>0</v>
      </c>
      <c r="E652" s="15" t="s">
        <v>65</v>
      </c>
      <c r="F652" s="16" t="e">
        <f>IF(#REF!&gt;=6,IFERROR(D652*_xlfn.SINGLE(_xlfn.XLOOKUP(B652,MA_ARTICULOS!$A:$A,MA_ARTICULOS!$E:$E,0)),""),"")</f>
        <v>#REF!</v>
      </c>
    </row>
    <row r="653" spans="1:6" x14ac:dyDescent="0.3">
      <c r="A653" s="11" t="e">
        <f>IF(#REF!&gt;=6,#REF!,"")</f>
        <v>#REF!</v>
      </c>
      <c r="B653" s="8">
        <v>11020004</v>
      </c>
      <c r="C653" s="8" t="s">
        <v>100</v>
      </c>
      <c r="D653" s="13">
        <v>0</v>
      </c>
      <c r="E653" s="15" t="s">
        <v>65</v>
      </c>
      <c r="F653" s="16" t="e">
        <f>IF(#REF!&gt;=6,IFERROR(D653*_xlfn.SINGLE(_xlfn.XLOOKUP(B653,MA_ARTICULOS!$A:$A,MA_ARTICULOS!$E:$E,0)),""),"")</f>
        <v>#REF!</v>
      </c>
    </row>
    <row r="654" spans="1:6" x14ac:dyDescent="0.3">
      <c r="A654" s="11" t="e">
        <f>IF(#REF!&gt;=6,#REF!,"")</f>
        <v>#REF!</v>
      </c>
      <c r="B654" s="8">
        <v>11020005</v>
      </c>
      <c r="C654" s="8" t="s">
        <v>101</v>
      </c>
      <c r="D654" s="13">
        <v>0</v>
      </c>
      <c r="E654" s="15" t="s">
        <v>65</v>
      </c>
      <c r="F654" s="16" t="e">
        <f>IF(#REF!&gt;=6,IFERROR(D654*_xlfn.SINGLE(_xlfn.XLOOKUP(B654,MA_ARTICULOS!$A:$A,MA_ARTICULOS!$E:$E,0)),""),"")</f>
        <v>#REF!</v>
      </c>
    </row>
    <row r="655" spans="1:6" x14ac:dyDescent="0.3">
      <c r="A655" s="11" t="e">
        <f>IF(#REF!&gt;=6,#REF!,"")</f>
        <v>#REF!</v>
      </c>
      <c r="B655" s="8">
        <v>11020006</v>
      </c>
      <c r="C655" s="8" t="s">
        <v>102</v>
      </c>
      <c r="D655" s="13">
        <v>0</v>
      </c>
      <c r="E655" s="15" t="s">
        <v>65</v>
      </c>
      <c r="F655" s="16" t="e">
        <f>IF(#REF!&gt;=6,IFERROR(D655*_xlfn.SINGLE(_xlfn.XLOOKUP(B655,MA_ARTICULOS!$A:$A,MA_ARTICULOS!$E:$E,0)),""),"")</f>
        <v>#REF!</v>
      </c>
    </row>
    <row r="656" spans="1:6" x14ac:dyDescent="0.3">
      <c r="A656" s="11" t="e">
        <f>IF(#REF!&gt;=6,#REF!,"")</f>
        <v>#REF!</v>
      </c>
      <c r="B656" s="8">
        <v>11020007</v>
      </c>
      <c r="C656" s="8" t="s">
        <v>103</v>
      </c>
      <c r="D656" s="13">
        <v>0</v>
      </c>
      <c r="E656" s="15" t="s">
        <v>65</v>
      </c>
      <c r="F656" s="16" t="e">
        <f>IF(#REF!&gt;=6,IFERROR(D656*_xlfn.SINGLE(_xlfn.XLOOKUP(B656,MA_ARTICULOS!$A:$A,MA_ARTICULOS!$E:$E,0)),""),"")</f>
        <v>#REF!</v>
      </c>
    </row>
    <row r="657" spans="1:6" x14ac:dyDescent="0.3">
      <c r="A657" s="11" t="e">
        <f>IF(#REF!&gt;=6,#REF!,"")</f>
        <v>#REF!</v>
      </c>
      <c r="B657" s="8">
        <v>11020008</v>
      </c>
      <c r="C657" s="8" t="s">
        <v>104</v>
      </c>
      <c r="D657" s="13">
        <v>0</v>
      </c>
      <c r="E657" s="15" t="s">
        <v>65</v>
      </c>
      <c r="F657" s="16" t="e">
        <f>IF(#REF!&gt;=6,IFERROR(D657*_xlfn.SINGLE(_xlfn.XLOOKUP(B657,MA_ARTICULOS!$A:$A,MA_ARTICULOS!$E:$E,0)),""),"")</f>
        <v>#REF!</v>
      </c>
    </row>
    <row r="658" spans="1:6" x14ac:dyDescent="0.3">
      <c r="A658" s="11" t="e">
        <f>IF(#REF!&gt;=6,#REF!,"")</f>
        <v>#REF!</v>
      </c>
      <c r="B658" s="8">
        <v>11020009</v>
      </c>
      <c r="C658" s="8" t="s">
        <v>105</v>
      </c>
      <c r="D658" s="13">
        <v>0</v>
      </c>
      <c r="E658" s="15" t="s">
        <v>65</v>
      </c>
      <c r="F658" s="16" t="e">
        <f>IF(#REF!&gt;=6,IFERROR(D658*_xlfn.SINGLE(_xlfn.XLOOKUP(B658,MA_ARTICULOS!$A:$A,MA_ARTICULOS!$E:$E,0)),""),"")</f>
        <v>#REF!</v>
      </c>
    </row>
    <row r="659" spans="1:6" x14ac:dyDescent="0.3">
      <c r="A659" s="11" t="e">
        <f>IF(#REF!&gt;=6,#REF!,"")</f>
        <v>#REF!</v>
      </c>
      <c r="B659" s="8">
        <v>11020010</v>
      </c>
      <c r="C659" s="8" t="s">
        <v>106</v>
      </c>
      <c r="D659" s="13">
        <v>0</v>
      </c>
      <c r="E659" s="15" t="s">
        <v>65</v>
      </c>
      <c r="F659" s="16" t="e">
        <f>IF(#REF!&gt;=6,IFERROR(D659*_xlfn.SINGLE(_xlfn.XLOOKUP(B659,MA_ARTICULOS!$A:$A,MA_ARTICULOS!$E:$E,0)),""),"")</f>
        <v>#REF!</v>
      </c>
    </row>
    <row r="660" spans="1:6" x14ac:dyDescent="0.3">
      <c r="A660" s="11" t="e">
        <f>IF(#REF!&gt;=6,#REF!,"")</f>
        <v>#REF!</v>
      </c>
      <c r="B660" s="8">
        <v>11020014</v>
      </c>
      <c r="C660" s="8" t="s">
        <v>107</v>
      </c>
      <c r="D660" s="13">
        <v>0</v>
      </c>
      <c r="E660" s="15" t="s">
        <v>65</v>
      </c>
      <c r="F660" s="16" t="e">
        <f>IF(#REF!&gt;=6,IFERROR(D660*_xlfn.SINGLE(_xlfn.XLOOKUP(B660,MA_ARTICULOS!$A:$A,MA_ARTICULOS!$E:$E,0)),""),"")</f>
        <v>#REF!</v>
      </c>
    </row>
    <row r="661" spans="1:6" x14ac:dyDescent="0.3">
      <c r="A661" s="11" t="e">
        <f>IF(#REF!&gt;=6,#REF!,"")</f>
        <v>#REF!</v>
      </c>
      <c r="B661" s="8">
        <v>11020015</v>
      </c>
      <c r="C661" s="8" t="s">
        <v>108</v>
      </c>
      <c r="D661" s="13">
        <v>0</v>
      </c>
      <c r="E661" s="15" t="s">
        <v>65</v>
      </c>
      <c r="F661" s="16" t="e">
        <f>IF(#REF!&gt;=6,IFERROR(D661*_xlfn.SINGLE(_xlfn.XLOOKUP(B661,MA_ARTICULOS!$A:$A,MA_ARTICULOS!$E:$E,0)),""),"")</f>
        <v>#REF!</v>
      </c>
    </row>
    <row r="662" spans="1:6" x14ac:dyDescent="0.3">
      <c r="A662" s="11" t="e">
        <f>IF(#REF!&gt;=6,#REF!,"")</f>
        <v>#REF!</v>
      </c>
      <c r="B662" s="8">
        <v>11020016</v>
      </c>
      <c r="C662" s="8" t="s">
        <v>109</v>
      </c>
      <c r="D662" s="13">
        <v>0</v>
      </c>
      <c r="E662" s="15" t="s">
        <v>65</v>
      </c>
      <c r="F662" s="16" t="e">
        <f>IF(#REF!&gt;=6,IFERROR(D662*_xlfn.SINGLE(_xlfn.XLOOKUP(B662,MA_ARTICULOS!$A:$A,MA_ARTICULOS!$E:$E,0)),""),"")</f>
        <v>#REF!</v>
      </c>
    </row>
    <row r="663" spans="1:6" x14ac:dyDescent="0.3">
      <c r="A663" s="11" t="e">
        <f>IF(#REF!&gt;=6,#REF!,"")</f>
        <v>#REF!</v>
      </c>
      <c r="B663" s="8">
        <v>12040001</v>
      </c>
      <c r="C663" s="8" t="s">
        <v>110</v>
      </c>
      <c r="D663" s="13">
        <v>0</v>
      </c>
      <c r="E663" s="15" t="s">
        <v>65</v>
      </c>
      <c r="F663" s="16" t="e">
        <f>IF(#REF!&gt;=6,IFERROR(D663*_xlfn.SINGLE(_xlfn.XLOOKUP(B663,MA_ARTICULOS!$A:$A,MA_ARTICULOS!$E:$E,0)),""),"")</f>
        <v>#REF!</v>
      </c>
    </row>
    <row r="664" spans="1:6" x14ac:dyDescent="0.3">
      <c r="A664" s="11" t="e">
        <f>IF(#REF!&gt;=6,#REF!,"")</f>
        <v>#REF!</v>
      </c>
      <c r="B664" s="8">
        <v>12040002</v>
      </c>
      <c r="C664" s="8" t="s">
        <v>111</v>
      </c>
      <c r="D664" s="13">
        <v>0</v>
      </c>
      <c r="E664" s="15" t="s">
        <v>65</v>
      </c>
      <c r="F664" s="16" t="e">
        <f>IF(#REF!&gt;=6,IFERROR(D664*_xlfn.SINGLE(_xlfn.XLOOKUP(B664,MA_ARTICULOS!$A:$A,MA_ARTICULOS!$E:$E,0)),""),"")</f>
        <v>#REF!</v>
      </c>
    </row>
    <row r="665" spans="1:6" x14ac:dyDescent="0.3">
      <c r="A665" s="11" t="e">
        <f>IF(#REF!&gt;=6,#REF!,"")</f>
        <v>#REF!</v>
      </c>
      <c r="B665" s="8">
        <v>12080001</v>
      </c>
      <c r="C665" s="8" t="s">
        <v>112</v>
      </c>
      <c r="D665" s="13">
        <v>0</v>
      </c>
      <c r="E665" s="15" t="s">
        <v>65</v>
      </c>
      <c r="F665" s="16" t="e">
        <f>IF(#REF!&gt;=6,IFERROR(D665*_xlfn.SINGLE(_xlfn.XLOOKUP(B665,MA_ARTICULOS!$A:$A,MA_ARTICULOS!$E:$E,0)),""),"")</f>
        <v>#REF!</v>
      </c>
    </row>
    <row r="666" spans="1:6" x14ac:dyDescent="0.3">
      <c r="A666" s="11" t="e">
        <f>IF(#REF!&gt;=6,#REF!,"")</f>
        <v>#REF!</v>
      </c>
      <c r="B666" s="8">
        <v>12080002</v>
      </c>
      <c r="C666" s="8" t="s">
        <v>113</v>
      </c>
      <c r="D666" s="13">
        <v>0</v>
      </c>
      <c r="E666" s="15" t="s">
        <v>65</v>
      </c>
      <c r="F666" s="16" t="e">
        <f>IF(#REF!&gt;=6,IFERROR(D666*_xlfn.SINGLE(_xlfn.XLOOKUP(B666,MA_ARTICULOS!$A:$A,MA_ARTICULOS!$E:$E,0)),""),"")</f>
        <v>#REF!</v>
      </c>
    </row>
    <row r="667" spans="1:6" x14ac:dyDescent="0.3">
      <c r="A667" s="11" t="e">
        <f>IF(#REF!&gt;=6,#REF!,"")</f>
        <v>#REF!</v>
      </c>
      <c r="B667" s="8">
        <v>12080003</v>
      </c>
      <c r="C667" s="8" t="s">
        <v>114</v>
      </c>
      <c r="D667" s="13">
        <v>0</v>
      </c>
      <c r="E667" s="15" t="s">
        <v>65</v>
      </c>
      <c r="F667" s="16" t="e">
        <f>IF(#REF!&gt;=6,IFERROR(D667*_xlfn.SINGLE(_xlfn.XLOOKUP(B667,MA_ARTICULOS!$A:$A,MA_ARTICULOS!$E:$E,0)),""),"")</f>
        <v>#REF!</v>
      </c>
    </row>
    <row r="668" spans="1:6" x14ac:dyDescent="0.3">
      <c r="A668" s="11" t="e">
        <f>IF(#REF!&gt;=6,#REF!,"")</f>
        <v>#REF!</v>
      </c>
      <c r="B668" s="8">
        <v>13010007</v>
      </c>
      <c r="C668" s="8" t="s">
        <v>115</v>
      </c>
      <c r="D668" s="13">
        <v>0</v>
      </c>
      <c r="E668" s="15" t="s">
        <v>65</v>
      </c>
      <c r="F668" s="16" t="e">
        <f>IF(#REF!&gt;=6,IFERROR(D668*_xlfn.SINGLE(_xlfn.XLOOKUP(B668,MA_ARTICULOS!$A:$A,MA_ARTICULOS!$E:$E,0)),""),"")</f>
        <v>#REF!</v>
      </c>
    </row>
    <row r="669" spans="1:6" x14ac:dyDescent="0.3">
      <c r="A669" s="11" t="e">
        <f>IF(#REF!&gt;=6,#REF!,"")</f>
        <v>#REF!</v>
      </c>
      <c r="B669" s="8">
        <v>13010008</v>
      </c>
      <c r="C669" s="8" t="s">
        <v>116</v>
      </c>
      <c r="D669" s="13">
        <v>0</v>
      </c>
      <c r="E669" s="15" t="s">
        <v>65</v>
      </c>
      <c r="F669" s="16" t="e">
        <f>IF(#REF!&gt;=6,IFERROR(D669*_xlfn.SINGLE(_xlfn.XLOOKUP(B669,MA_ARTICULOS!$A:$A,MA_ARTICULOS!$E:$E,0)),""),"")</f>
        <v>#REF!</v>
      </c>
    </row>
    <row r="670" spans="1:6" x14ac:dyDescent="0.3">
      <c r="A670" s="11" t="e">
        <f>IF(#REF!&gt;=6,#REF!,"")</f>
        <v>#REF!</v>
      </c>
      <c r="B670" s="8">
        <v>13019001</v>
      </c>
      <c r="C670" s="8" t="s">
        <v>117</v>
      </c>
      <c r="D670" s="13">
        <v>0</v>
      </c>
      <c r="E670" s="15" t="s">
        <v>65</v>
      </c>
      <c r="F670" s="16" t="e">
        <f>IF(#REF!&gt;=6,IFERROR(D670*_xlfn.SINGLE(_xlfn.XLOOKUP(B670,MA_ARTICULOS!$A:$A,MA_ARTICULOS!$E:$E,0)),""),"")</f>
        <v>#REF!</v>
      </c>
    </row>
    <row r="671" spans="1:6" x14ac:dyDescent="0.3">
      <c r="A671" s="11" t="e">
        <f>IF(#REF!&gt;=6,#REF!,"")</f>
        <v>#REF!</v>
      </c>
      <c r="B671" s="8">
        <v>13019002</v>
      </c>
      <c r="C671" s="8" t="s">
        <v>118</v>
      </c>
      <c r="D671" s="13">
        <v>0</v>
      </c>
      <c r="E671" s="15" t="s">
        <v>65</v>
      </c>
      <c r="F671" s="16" t="e">
        <f>IF(#REF!&gt;=6,IFERROR(D671*_xlfn.SINGLE(_xlfn.XLOOKUP(B671,MA_ARTICULOS!$A:$A,MA_ARTICULOS!$E:$E,0)),""),"")</f>
        <v>#REF!</v>
      </c>
    </row>
    <row r="672" spans="1:6" x14ac:dyDescent="0.3">
      <c r="A672" s="11" t="e">
        <f>IF(#REF!&gt;=6,#REF!,"")</f>
        <v>#REF!</v>
      </c>
      <c r="B672" s="8">
        <v>13019003</v>
      </c>
      <c r="C672" s="8" t="s">
        <v>119</v>
      </c>
      <c r="D672" s="13">
        <v>0</v>
      </c>
      <c r="E672" s="15" t="s">
        <v>65</v>
      </c>
      <c r="F672" s="16" t="e">
        <f>IF(#REF!&gt;=6,IFERROR(D672*_xlfn.SINGLE(_xlfn.XLOOKUP(B672,MA_ARTICULOS!$A:$A,MA_ARTICULOS!$E:$E,0)),""),"")</f>
        <v>#REF!</v>
      </c>
    </row>
    <row r="673" spans="1:6" x14ac:dyDescent="0.3">
      <c r="A673" s="11" t="e">
        <f>IF(#REF!&gt;=6,#REF!,"")</f>
        <v>#REF!</v>
      </c>
      <c r="B673" s="8">
        <v>13019004</v>
      </c>
      <c r="C673" s="8" t="s">
        <v>120</v>
      </c>
      <c r="D673" s="13">
        <v>0</v>
      </c>
      <c r="E673" s="15" t="s">
        <v>65</v>
      </c>
      <c r="F673" s="16" t="e">
        <f>IF(#REF!&gt;=6,IFERROR(D673*_xlfn.SINGLE(_xlfn.XLOOKUP(B673,MA_ARTICULOS!$A:$A,MA_ARTICULOS!$E:$E,0)),""),"")</f>
        <v>#REF!</v>
      </c>
    </row>
    <row r="674" spans="1:6" x14ac:dyDescent="0.3">
      <c r="A674" s="11" t="e">
        <f>IF(#REF!&gt;=6,#REF!,"")</f>
        <v>#REF!</v>
      </c>
      <c r="B674" s="8">
        <v>13019005</v>
      </c>
      <c r="C674" s="8" t="s">
        <v>121</v>
      </c>
      <c r="D674" s="13">
        <v>0</v>
      </c>
      <c r="E674" s="15" t="s">
        <v>65</v>
      </c>
      <c r="F674" s="16" t="e">
        <f>IF(#REF!&gt;=6,IFERROR(D674*_xlfn.SINGLE(_xlfn.XLOOKUP(B674,MA_ARTICULOS!$A:$A,MA_ARTICULOS!$E:$E,0)),""),"")</f>
        <v>#REF!</v>
      </c>
    </row>
    <row r="675" spans="1:6" x14ac:dyDescent="0.3">
      <c r="A675" s="11" t="e">
        <f>IF(#REF!&gt;=6,#REF!,"")</f>
        <v>#REF!</v>
      </c>
      <c r="B675" s="8">
        <v>13019007</v>
      </c>
      <c r="C675" s="8" t="s">
        <v>122</v>
      </c>
      <c r="D675" s="13">
        <v>0</v>
      </c>
      <c r="E675" s="15" t="s">
        <v>65</v>
      </c>
      <c r="F675" s="16" t="e">
        <f>IF(#REF!&gt;=6,IFERROR(D675*_xlfn.SINGLE(_xlfn.XLOOKUP(B675,MA_ARTICULOS!$A:$A,MA_ARTICULOS!$E:$E,0)),""),"")</f>
        <v>#REF!</v>
      </c>
    </row>
    <row r="676" spans="1:6" x14ac:dyDescent="0.3">
      <c r="A676" s="11" t="e">
        <f>IF(#REF!&gt;=6,#REF!,"")</f>
        <v>#REF!</v>
      </c>
      <c r="B676" s="8">
        <v>13019008</v>
      </c>
      <c r="C676" s="8" t="s">
        <v>123</v>
      </c>
      <c r="D676" s="13">
        <v>0</v>
      </c>
      <c r="E676" s="15" t="s">
        <v>65</v>
      </c>
      <c r="F676" s="16" t="e">
        <f>IF(#REF!&gt;=6,IFERROR(D676*_xlfn.SINGLE(_xlfn.XLOOKUP(B676,MA_ARTICULOS!$A:$A,MA_ARTICULOS!$E:$E,0)),""),"")</f>
        <v>#REF!</v>
      </c>
    </row>
    <row r="677" spans="1:6" x14ac:dyDescent="0.3">
      <c r="A677" s="11" t="e">
        <f>IF(#REF!&gt;=6,#REF!,"")</f>
        <v>#REF!</v>
      </c>
      <c r="B677" s="8">
        <v>13020004</v>
      </c>
      <c r="C677" s="8" t="s">
        <v>124</v>
      </c>
      <c r="D677" s="13">
        <v>0</v>
      </c>
      <c r="E677" s="15" t="s">
        <v>65</v>
      </c>
      <c r="F677" s="16" t="e">
        <f>IF(#REF!&gt;=6,IFERROR(D677*_xlfn.SINGLE(_xlfn.XLOOKUP(B677,MA_ARTICULOS!$A:$A,MA_ARTICULOS!$E:$E,0)),""),"")</f>
        <v>#REF!</v>
      </c>
    </row>
    <row r="678" spans="1:6" x14ac:dyDescent="0.3">
      <c r="A678" s="11" t="e">
        <f>IF(#REF!&gt;=6,#REF!,"")</f>
        <v>#REF!</v>
      </c>
      <c r="B678" s="8">
        <v>13020005</v>
      </c>
      <c r="C678" s="8" t="s">
        <v>125</v>
      </c>
      <c r="D678" s="13">
        <v>0</v>
      </c>
      <c r="E678" s="15" t="s">
        <v>65</v>
      </c>
      <c r="F678" s="16" t="e">
        <f>IF(#REF!&gt;=6,IFERROR(D678*_xlfn.SINGLE(_xlfn.XLOOKUP(B678,MA_ARTICULOS!$A:$A,MA_ARTICULOS!$E:$E,0)),""),"")</f>
        <v>#REF!</v>
      </c>
    </row>
    <row r="679" spans="1:6" x14ac:dyDescent="0.3">
      <c r="A679" s="11" t="e">
        <f>IF(#REF!&gt;=6,#REF!,"")</f>
        <v>#REF!</v>
      </c>
      <c r="B679" s="8">
        <v>13040001</v>
      </c>
      <c r="C679" s="8" t="s">
        <v>126</v>
      </c>
      <c r="D679" s="13">
        <v>0</v>
      </c>
      <c r="E679" s="15" t="s">
        <v>65</v>
      </c>
      <c r="F679" s="16" t="e">
        <f>IF(#REF!&gt;=6,IFERROR(D679*_xlfn.SINGLE(_xlfn.XLOOKUP(B679,MA_ARTICULOS!$A:$A,MA_ARTICULOS!$E:$E,0)),""),"")</f>
        <v>#REF!</v>
      </c>
    </row>
    <row r="680" spans="1:6" x14ac:dyDescent="0.3">
      <c r="A680" s="11" t="e">
        <f>IF(#REF!&gt;=6,#REF!,"")</f>
        <v>#REF!</v>
      </c>
      <c r="B680" s="8">
        <v>13040002</v>
      </c>
      <c r="C680" s="8" t="s">
        <v>127</v>
      </c>
      <c r="D680" s="13">
        <v>0</v>
      </c>
      <c r="E680" s="15" t="s">
        <v>65</v>
      </c>
      <c r="F680" s="16" t="e">
        <f>IF(#REF!&gt;=6,IFERROR(D680*_xlfn.SINGLE(_xlfn.XLOOKUP(B680,MA_ARTICULOS!$A:$A,MA_ARTICULOS!$E:$E,0)),""),"")</f>
        <v>#REF!</v>
      </c>
    </row>
    <row r="681" spans="1:6" x14ac:dyDescent="0.3">
      <c r="A681" s="11" t="e">
        <f>IF(#REF!&gt;=6,#REF!,"")</f>
        <v>#REF!</v>
      </c>
      <c r="B681" s="8">
        <v>13040003</v>
      </c>
      <c r="C681" s="8" t="s">
        <v>128</v>
      </c>
      <c r="D681" s="13">
        <v>0</v>
      </c>
      <c r="E681" s="15" t="s">
        <v>65</v>
      </c>
      <c r="F681" s="16" t="e">
        <f>IF(#REF!&gt;=6,IFERROR(D681*_xlfn.SINGLE(_xlfn.XLOOKUP(B681,MA_ARTICULOS!$A:$A,MA_ARTICULOS!$E:$E,0)),""),"")</f>
        <v>#REF!</v>
      </c>
    </row>
    <row r="682" spans="1:6" x14ac:dyDescent="0.3">
      <c r="A682" s="11" t="e">
        <f>IF(#REF!&gt;=6,#REF!,"")</f>
        <v>#REF!</v>
      </c>
      <c r="B682" s="8">
        <v>13040004</v>
      </c>
      <c r="C682" s="8" t="s">
        <v>129</v>
      </c>
      <c r="D682" s="13">
        <v>0</v>
      </c>
      <c r="E682" s="15" t="s">
        <v>65</v>
      </c>
      <c r="F682" s="16" t="e">
        <f>IF(#REF!&gt;=6,IFERROR(D682*_xlfn.SINGLE(_xlfn.XLOOKUP(B682,MA_ARTICULOS!$A:$A,MA_ARTICULOS!$E:$E,0)),""),"")</f>
        <v>#REF!</v>
      </c>
    </row>
    <row r="683" spans="1:6" x14ac:dyDescent="0.3">
      <c r="A683" s="11" t="e">
        <f>IF(#REF!&gt;=6,#REF!,"")</f>
        <v>#REF!</v>
      </c>
      <c r="B683" s="8">
        <v>13040005</v>
      </c>
      <c r="C683" s="8" t="s">
        <v>130</v>
      </c>
      <c r="D683" s="13">
        <v>0</v>
      </c>
      <c r="E683" s="15" t="s">
        <v>65</v>
      </c>
      <c r="F683" s="16" t="e">
        <f>IF(#REF!&gt;=6,IFERROR(D683*_xlfn.SINGLE(_xlfn.XLOOKUP(B683,MA_ARTICULOS!$A:$A,MA_ARTICULOS!$E:$E,0)),""),"")</f>
        <v>#REF!</v>
      </c>
    </row>
    <row r="684" spans="1:6" x14ac:dyDescent="0.3">
      <c r="A684" s="11" t="e">
        <f>IF(#REF!&gt;=6,#REF!,"")</f>
        <v>#REF!</v>
      </c>
      <c r="B684" s="8">
        <v>13040006</v>
      </c>
      <c r="C684" s="8" t="s">
        <v>131</v>
      </c>
      <c r="D684" s="13">
        <v>0</v>
      </c>
      <c r="E684" s="15" t="s">
        <v>65</v>
      </c>
      <c r="F684" s="16" t="e">
        <f>IF(#REF!&gt;=6,IFERROR(D684*_xlfn.SINGLE(_xlfn.XLOOKUP(B684,MA_ARTICULOS!$A:$A,MA_ARTICULOS!$E:$E,0)),""),"")</f>
        <v>#REF!</v>
      </c>
    </row>
    <row r="685" spans="1:6" x14ac:dyDescent="0.3">
      <c r="A685" s="11" t="e">
        <f>IF(#REF!&gt;=6,#REF!,"")</f>
        <v>#REF!</v>
      </c>
      <c r="B685" s="8">
        <v>13040007</v>
      </c>
      <c r="C685" s="8" t="s">
        <v>132</v>
      </c>
      <c r="D685" s="13">
        <v>0</v>
      </c>
      <c r="E685" s="15" t="s">
        <v>65</v>
      </c>
      <c r="F685" s="16" t="e">
        <f>IF(#REF!&gt;=6,IFERROR(D685*_xlfn.SINGLE(_xlfn.XLOOKUP(B685,MA_ARTICULOS!$A:$A,MA_ARTICULOS!$E:$E,0)),""),"")</f>
        <v>#REF!</v>
      </c>
    </row>
    <row r="686" spans="1:6" x14ac:dyDescent="0.3">
      <c r="A686" s="11" t="e">
        <f>IF(#REF!&gt;=6,#REF!,"")</f>
        <v>#REF!</v>
      </c>
      <c r="B686" s="8">
        <v>13040008</v>
      </c>
      <c r="C686" s="8" t="s">
        <v>133</v>
      </c>
      <c r="D686" s="13">
        <v>0</v>
      </c>
      <c r="E686" s="15" t="s">
        <v>65</v>
      </c>
      <c r="F686" s="16" t="e">
        <f>IF(#REF!&gt;=6,IFERROR(D686*_xlfn.SINGLE(_xlfn.XLOOKUP(B686,MA_ARTICULOS!$A:$A,MA_ARTICULOS!$E:$E,0)),""),"")</f>
        <v>#REF!</v>
      </c>
    </row>
    <row r="687" spans="1:6" x14ac:dyDescent="0.3">
      <c r="A687" s="11" t="e">
        <f>IF(#REF!&gt;=6,#REF!,"")</f>
        <v>#REF!</v>
      </c>
      <c r="B687" s="8">
        <v>13040009</v>
      </c>
      <c r="C687" s="8" t="s">
        <v>134</v>
      </c>
      <c r="D687" s="13">
        <v>0</v>
      </c>
      <c r="E687" s="15" t="s">
        <v>65</v>
      </c>
      <c r="F687" s="16" t="e">
        <f>IF(#REF!&gt;=6,IFERROR(D687*_xlfn.SINGLE(_xlfn.XLOOKUP(B687,MA_ARTICULOS!$A:$A,MA_ARTICULOS!$E:$E,0)),""),"")</f>
        <v>#REF!</v>
      </c>
    </row>
    <row r="688" spans="1:6" x14ac:dyDescent="0.3">
      <c r="A688" s="11" t="e">
        <f>IF(#REF!&gt;=6,#REF!,"")</f>
        <v>#REF!</v>
      </c>
      <c r="B688" s="8">
        <v>13040010</v>
      </c>
      <c r="C688" s="8" t="s">
        <v>135</v>
      </c>
      <c r="D688" s="13">
        <v>0</v>
      </c>
      <c r="E688" s="15" t="s">
        <v>65</v>
      </c>
      <c r="F688" s="16" t="e">
        <f>IF(#REF!&gt;=6,IFERROR(D688*_xlfn.SINGLE(_xlfn.XLOOKUP(B688,MA_ARTICULOS!$A:$A,MA_ARTICULOS!$E:$E,0)),""),"")</f>
        <v>#REF!</v>
      </c>
    </row>
    <row r="689" spans="1:6" x14ac:dyDescent="0.3">
      <c r="A689" s="11" t="e">
        <f>IF(#REF!&gt;=6,#REF!,"")</f>
        <v>#REF!</v>
      </c>
      <c r="B689" s="8">
        <v>13040011</v>
      </c>
      <c r="C689" s="8" t="s">
        <v>136</v>
      </c>
      <c r="D689" s="13">
        <v>0</v>
      </c>
      <c r="E689" s="15" t="s">
        <v>65</v>
      </c>
      <c r="F689" s="16" t="e">
        <f>IF(#REF!&gt;=6,IFERROR(D689*_xlfn.SINGLE(_xlfn.XLOOKUP(B689,MA_ARTICULOS!$A:$A,MA_ARTICULOS!$E:$E,0)),""),"")</f>
        <v>#REF!</v>
      </c>
    </row>
    <row r="690" spans="1:6" x14ac:dyDescent="0.3">
      <c r="A690" s="11" t="e">
        <f>IF(#REF!&gt;=6,#REF!,"")</f>
        <v>#REF!</v>
      </c>
      <c r="B690" s="8">
        <v>13040012</v>
      </c>
      <c r="C690" s="8" t="s">
        <v>137</v>
      </c>
      <c r="D690" s="13">
        <v>0</v>
      </c>
      <c r="E690" s="15" t="s">
        <v>65</v>
      </c>
      <c r="F690" s="16" t="e">
        <f>IF(#REF!&gt;=6,IFERROR(D690*_xlfn.SINGLE(_xlfn.XLOOKUP(B690,MA_ARTICULOS!$A:$A,MA_ARTICULOS!$E:$E,0)),""),"")</f>
        <v>#REF!</v>
      </c>
    </row>
    <row r="691" spans="1:6" x14ac:dyDescent="0.3">
      <c r="A691" s="11" t="e">
        <f>IF(#REF!&gt;=6,#REF!,"")</f>
        <v>#REF!</v>
      </c>
      <c r="B691" s="8">
        <v>13040013</v>
      </c>
      <c r="C691" s="8" t="s">
        <v>138</v>
      </c>
      <c r="D691" s="13">
        <v>0</v>
      </c>
      <c r="E691" s="15" t="s">
        <v>65</v>
      </c>
      <c r="F691" s="16" t="e">
        <f>IF(#REF!&gt;=6,IFERROR(D691*_xlfn.SINGLE(_xlfn.XLOOKUP(B691,MA_ARTICULOS!$A:$A,MA_ARTICULOS!$E:$E,0)),""),"")</f>
        <v>#REF!</v>
      </c>
    </row>
    <row r="692" spans="1:6" x14ac:dyDescent="0.3">
      <c r="A692" s="11" t="e">
        <f>IF(#REF!&gt;=6,#REF!,"")</f>
        <v>#REF!</v>
      </c>
      <c r="B692" s="8">
        <v>13040014</v>
      </c>
      <c r="C692" s="8" t="s">
        <v>139</v>
      </c>
      <c r="D692" s="13">
        <v>0</v>
      </c>
      <c r="E692" s="15" t="s">
        <v>65</v>
      </c>
      <c r="F692" s="16" t="e">
        <f>IF(#REF!&gt;=6,IFERROR(D692*_xlfn.SINGLE(_xlfn.XLOOKUP(B692,MA_ARTICULOS!$A:$A,MA_ARTICULOS!$E:$E,0)),""),"")</f>
        <v>#REF!</v>
      </c>
    </row>
    <row r="693" spans="1:6" x14ac:dyDescent="0.3">
      <c r="A693" s="11" t="e">
        <f>IF(#REF!&gt;=6,#REF!,"")</f>
        <v>#REF!</v>
      </c>
      <c r="B693" s="8">
        <v>13040015</v>
      </c>
      <c r="C693" s="8" t="s">
        <v>140</v>
      </c>
      <c r="D693" s="13">
        <v>0</v>
      </c>
      <c r="E693" s="15" t="s">
        <v>65</v>
      </c>
      <c r="F693" s="16" t="e">
        <f>IF(#REF!&gt;=6,IFERROR(D693*_xlfn.SINGLE(_xlfn.XLOOKUP(B693,MA_ARTICULOS!$A:$A,MA_ARTICULOS!$E:$E,0)),""),"")</f>
        <v>#REF!</v>
      </c>
    </row>
    <row r="694" spans="1:6" x14ac:dyDescent="0.3">
      <c r="A694" s="11" t="e">
        <f>IF(#REF!&gt;=6,#REF!,"")</f>
        <v>#REF!</v>
      </c>
      <c r="B694" s="8">
        <v>13040016</v>
      </c>
      <c r="C694" s="8" t="s">
        <v>141</v>
      </c>
      <c r="D694" s="13">
        <v>0</v>
      </c>
      <c r="E694" s="15" t="s">
        <v>65</v>
      </c>
      <c r="F694" s="16" t="e">
        <f>IF(#REF!&gt;=6,IFERROR(D694*_xlfn.SINGLE(_xlfn.XLOOKUP(B694,MA_ARTICULOS!$A:$A,MA_ARTICULOS!$E:$E,0)),""),"")</f>
        <v>#REF!</v>
      </c>
    </row>
    <row r="695" spans="1:6" x14ac:dyDescent="0.3">
      <c r="A695" s="11" t="e">
        <f>IF(#REF!&gt;=6,#REF!,"")</f>
        <v>#REF!</v>
      </c>
      <c r="B695" s="8">
        <v>13040017</v>
      </c>
      <c r="C695" s="8" t="s">
        <v>142</v>
      </c>
      <c r="D695" s="13">
        <v>0</v>
      </c>
      <c r="E695" s="15" t="s">
        <v>65</v>
      </c>
      <c r="F695" s="16" t="e">
        <f>IF(#REF!&gt;=6,IFERROR(D695*_xlfn.SINGLE(_xlfn.XLOOKUP(B695,MA_ARTICULOS!$A:$A,MA_ARTICULOS!$E:$E,0)),""),"")</f>
        <v>#REF!</v>
      </c>
    </row>
    <row r="696" spans="1:6" x14ac:dyDescent="0.3">
      <c r="A696" s="11" t="e">
        <f>IF(#REF!&gt;=6,#REF!,"")</f>
        <v>#REF!</v>
      </c>
      <c r="B696" s="8">
        <v>13040018</v>
      </c>
      <c r="C696" s="8" t="s">
        <v>143</v>
      </c>
      <c r="D696" s="13">
        <v>0</v>
      </c>
      <c r="E696" s="15" t="s">
        <v>65</v>
      </c>
      <c r="F696" s="16" t="e">
        <f>IF(#REF!&gt;=6,IFERROR(D696*_xlfn.SINGLE(_xlfn.XLOOKUP(B696,MA_ARTICULOS!$A:$A,MA_ARTICULOS!$E:$E,0)),""),"")</f>
        <v>#REF!</v>
      </c>
    </row>
    <row r="697" spans="1:6" x14ac:dyDescent="0.3">
      <c r="A697" s="11" t="e">
        <f>IF(#REF!&gt;=6,#REF!,"")</f>
        <v>#REF!</v>
      </c>
      <c r="B697" s="8">
        <v>13040101</v>
      </c>
      <c r="C697" s="8" t="s">
        <v>144</v>
      </c>
      <c r="D697" s="13">
        <v>0</v>
      </c>
      <c r="E697" s="15" t="s">
        <v>65</v>
      </c>
      <c r="F697" s="16" t="e">
        <f>IF(#REF!&gt;=6,IFERROR(D697*_xlfn.SINGLE(_xlfn.XLOOKUP(B697,MA_ARTICULOS!$A:$A,MA_ARTICULOS!$E:$E,0)),""),"")</f>
        <v>#REF!</v>
      </c>
    </row>
    <row r="698" spans="1:6" x14ac:dyDescent="0.3">
      <c r="A698" s="11" t="e">
        <f>IF(#REF!&gt;=6,#REF!,"")</f>
        <v>#REF!</v>
      </c>
      <c r="B698" s="8">
        <v>13040102</v>
      </c>
      <c r="C698" s="8" t="s">
        <v>145</v>
      </c>
      <c r="D698" s="13">
        <v>0</v>
      </c>
      <c r="E698" s="15" t="s">
        <v>65</v>
      </c>
      <c r="F698" s="16" t="e">
        <f>IF(#REF!&gt;=6,IFERROR(D698*_xlfn.SINGLE(_xlfn.XLOOKUP(B698,MA_ARTICULOS!$A:$A,MA_ARTICULOS!$E:$E,0)),""),"")</f>
        <v>#REF!</v>
      </c>
    </row>
    <row r="699" spans="1:6" x14ac:dyDescent="0.3">
      <c r="A699" s="11" t="e">
        <f>IF(#REF!&gt;=6,#REF!,"")</f>
        <v>#REF!</v>
      </c>
      <c r="B699" s="8">
        <v>13040103</v>
      </c>
      <c r="C699" s="8" t="s">
        <v>146</v>
      </c>
      <c r="D699" s="13">
        <v>0</v>
      </c>
      <c r="E699" s="15" t="s">
        <v>65</v>
      </c>
      <c r="F699" s="16" t="e">
        <f>IF(#REF!&gt;=6,IFERROR(D699*_xlfn.SINGLE(_xlfn.XLOOKUP(B699,MA_ARTICULOS!$A:$A,MA_ARTICULOS!$E:$E,0)),""),"")</f>
        <v>#REF!</v>
      </c>
    </row>
    <row r="700" spans="1:6" x14ac:dyDescent="0.3">
      <c r="A700" s="11" t="e">
        <f>IF(#REF!&gt;=6,#REF!,"")</f>
        <v>#REF!</v>
      </c>
      <c r="B700" s="8">
        <v>13050001</v>
      </c>
      <c r="C700" s="8" t="s">
        <v>147</v>
      </c>
      <c r="D700" s="13">
        <v>0</v>
      </c>
      <c r="E700" s="15" t="s">
        <v>65</v>
      </c>
      <c r="F700" s="16" t="e">
        <f>IF(#REF!&gt;=6,IFERROR(D700*_xlfn.SINGLE(_xlfn.XLOOKUP(B700,MA_ARTICULOS!$A:$A,MA_ARTICULOS!$E:$E,0)),""),"")</f>
        <v>#REF!</v>
      </c>
    </row>
    <row r="701" spans="1:6" x14ac:dyDescent="0.3">
      <c r="A701" s="11" t="e">
        <f>IF(#REF!&gt;=6,#REF!,"")</f>
        <v>#REF!</v>
      </c>
      <c r="B701" s="8">
        <v>13050002</v>
      </c>
      <c r="C701" s="8" t="s">
        <v>148</v>
      </c>
      <c r="D701" s="13">
        <v>0</v>
      </c>
      <c r="E701" s="15" t="s">
        <v>65</v>
      </c>
      <c r="F701" s="16" t="e">
        <f>IF(#REF!&gt;=6,IFERROR(D701*_xlfn.SINGLE(_xlfn.XLOOKUP(B701,MA_ARTICULOS!$A:$A,MA_ARTICULOS!$E:$E,0)),""),"")</f>
        <v>#REF!</v>
      </c>
    </row>
    <row r="702" spans="1:6" x14ac:dyDescent="0.3">
      <c r="A702" s="11" t="e">
        <f>IF(#REF!&gt;=6,#REF!,"")</f>
        <v>#REF!</v>
      </c>
      <c r="B702" s="8">
        <v>13050003</v>
      </c>
      <c r="C702" s="8" t="s">
        <v>149</v>
      </c>
      <c r="D702" s="13">
        <v>0</v>
      </c>
      <c r="E702" s="15" t="s">
        <v>65</v>
      </c>
      <c r="F702" s="16" t="e">
        <f>IF(#REF!&gt;=6,IFERROR(D702*_xlfn.SINGLE(_xlfn.XLOOKUP(B702,MA_ARTICULOS!$A:$A,MA_ARTICULOS!$E:$E,0)),""),"")</f>
        <v>#REF!</v>
      </c>
    </row>
    <row r="703" spans="1:6" x14ac:dyDescent="0.3">
      <c r="A703" s="11" t="e">
        <f>IF(#REF!&gt;=6,#REF!,"")</f>
        <v>#REF!</v>
      </c>
      <c r="B703" s="8">
        <v>13050004</v>
      </c>
      <c r="C703" s="8" t="s">
        <v>150</v>
      </c>
      <c r="D703" s="13">
        <v>0</v>
      </c>
      <c r="E703" s="15" t="s">
        <v>65</v>
      </c>
      <c r="F703" s="16" t="e">
        <f>IF(#REF!&gt;=6,IFERROR(D703*_xlfn.SINGLE(_xlfn.XLOOKUP(B703,MA_ARTICULOS!$A:$A,MA_ARTICULOS!$E:$E,0)),""),"")</f>
        <v>#REF!</v>
      </c>
    </row>
    <row r="704" spans="1:6" x14ac:dyDescent="0.3">
      <c r="A704" s="11" t="e">
        <f>IF(#REF!&gt;=6,#REF!,"")</f>
        <v>#REF!</v>
      </c>
      <c r="B704" s="8">
        <v>13050005</v>
      </c>
      <c r="C704" s="8" t="s">
        <v>151</v>
      </c>
      <c r="D704" s="13">
        <v>0</v>
      </c>
      <c r="E704" s="15" t="s">
        <v>65</v>
      </c>
      <c r="F704" s="16" t="e">
        <f>IF(#REF!&gt;=6,IFERROR(D704*_xlfn.SINGLE(_xlfn.XLOOKUP(B704,MA_ARTICULOS!$A:$A,MA_ARTICULOS!$E:$E,0)),""),"")</f>
        <v>#REF!</v>
      </c>
    </row>
    <row r="705" spans="1:6" x14ac:dyDescent="0.3">
      <c r="A705" s="11" t="e">
        <f>IF(#REF!&gt;=6,#REF!,"")</f>
        <v>#REF!</v>
      </c>
      <c r="B705" s="8">
        <v>13050006</v>
      </c>
      <c r="C705" s="8" t="s">
        <v>152</v>
      </c>
      <c r="D705" s="13">
        <v>0</v>
      </c>
      <c r="E705" s="15" t="s">
        <v>65</v>
      </c>
      <c r="F705" s="16" t="e">
        <f>IF(#REF!&gt;=6,IFERROR(D705*_xlfn.SINGLE(_xlfn.XLOOKUP(B705,MA_ARTICULOS!$A:$A,MA_ARTICULOS!$E:$E,0)),""),"")</f>
        <v>#REF!</v>
      </c>
    </row>
    <row r="706" spans="1:6" x14ac:dyDescent="0.3">
      <c r="A706" s="11" t="e">
        <f>IF(#REF!&gt;=6,#REF!,"")</f>
        <v>#REF!</v>
      </c>
      <c r="B706" s="8">
        <v>13050007</v>
      </c>
      <c r="C706" s="8" t="s">
        <v>153</v>
      </c>
      <c r="D706" s="13">
        <v>0</v>
      </c>
      <c r="E706" s="15" t="s">
        <v>65</v>
      </c>
      <c r="F706" s="16" t="e">
        <f>IF(#REF!&gt;=6,IFERROR(D706*_xlfn.SINGLE(_xlfn.XLOOKUP(B706,MA_ARTICULOS!$A:$A,MA_ARTICULOS!$E:$E,0)),""),"")</f>
        <v>#REF!</v>
      </c>
    </row>
    <row r="707" spans="1:6" x14ac:dyDescent="0.3">
      <c r="A707" s="11" t="e">
        <f>IF(#REF!&gt;=6,#REF!,"")</f>
        <v>#REF!</v>
      </c>
      <c r="B707" s="8">
        <v>13050008</v>
      </c>
      <c r="C707" s="8" t="s">
        <v>154</v>
      </c>
      <c r="D707" s="13">
        <v>0</v>
      </c>
      <c r="E707" s="15" t="s">
        <v>65</v>
      </c>
      <c r="F707" s="16" t="e">
        <f>IF(#REF!&gt;=6,IFERROR(D707*_xlfn.SINGLE(_xlfn.XLOOKUP(B707,MA_ARTICULOS!$A:$A,MA_ARTICULOS!$E:$E,0)),""),"")</f>
        <v>#REF!</v>
      </c>
    </row>
    <row r="708" spans="1:6" x14ac:dyDescent="0.3">
      <c r="A708" s="11" t="e">
        <f>IF(#REF!&gt;=6,#REF!,"")</f>
        <v>#REF!</v>
      </c>
      <c r="B708" s="8">
        <v>13089001</v>
      </c>
      <c r="C708" s="8" t="s">
        <v>155</v>
      </c>
      <c r="D708" s="13">
        <v>0</v>
      </c>
      <c r="E708" s="15" t="s">
        <v>65</v>
      </c>
      <c r="F708" s="16" t="e">
        <f>IF(#REF!&gt;=6,IFERROR(D708*_xlfn.SINGLE(_xlfn.XLOOKUP(B708,MA_ARTICULOS!$A:$A,MA_ARTICULOS!$E:$E,0)),""),"")</f>
        <v>#REF!</v>
      </c>
    </row>
    <row r="709" spans="1:6" x14ac:dyDescent="0.3">
      <c r="A709" s="11" t="e">
        <f>IF(#REF!&gt;=6,#REF!,"")</f>
        <v>#REF!</v>
      </c>
      <c r="B709" s="8">
        <v>13089002</v>
      </c>
      <c r="C709" s="8" t="s">
        <v>156</v>
      </c>
      <c r="D709" s="13">
        <v>0</v>
      </c>
      <c r="E709" s="15" t="s">
        <v>65</v>
      </c>
      <c r="F709" s="16" t="e">
        <f>IF(#REF!&gt;=6,IFERROR(D709*_xlfn.SINGLE(_xlfn.XLOOKUP(B709,MA_ARTICULOS!$A:$A,MA_ARTICULOS!$E:$E,0)),""),"")</f>
        <v>#REF!</v>
      </c>
    </row>
    <row r="710" spans="1:6" x14ac:dyDescent="0.3">
      <c r="A710" s="11" t="e">
        <f>IF(#REF!&gt;=6,#REF!,"")</f>
        <v>#REF!</v>
      </c>
      <c r="B710" s="8">
        <v>13089003</v>
      </c>
      <c r="C710" s="8" t="s">
        <v>157</v>
      </c>
      <c r="D710" s="13">
        <v>0</v>
      </c>
      <c r="E710" s="15" t="s">
        <v>65</v>
      </c>
      <c r="F710" s="16" t="e">
        <f>IF(#REF!&gt;=6,IFERROR(D710*_xlfn.SINGLE(_xlfn.XLOOKUP(B710,MA_ARTICULOS!$A:$A,MA_ARTICULOS!$E:$E,0)),""),"")</f>
        <v>#REF!</v>
      </c>
    </row>
    <row r="711" spans="1:6" x14ac:dyDescent="0.3">
      <c r="A711" s="11" t="e">
        <f>IF(#REF!&gt;=6,#REF!,"")</f>
        <v>#REF!</v>
      </c>
      <c r="B711" s="8">
        <v>13089004</v>
      </c>
      <c r="C711" s="8" t="s">
        <v>158</v>
      </c>
      <c r="D711" s="13">
        <v>0</v>
      </c>
      <c r="E711" s="15" t="s">
        <v>65</v>
      </c>
      <c r="F711" s="16" t="e">
        <f>IF(#REF!&gt;=6,IFERROR(D711*_xlfn.SINGLE(_xlfn.XLOOKUP(B711,MA_ARTICULOS!$A:$A,MA_ARTICULOS!$E:$E,0)),""),"")</f>
        <v>#REF!</v>
      </c>
    </row>
    <row r="712" spans="1:6" x14ac:dyDescent="0.3">
      <c r="A712" s="11" t="e">
        <f>IF(#REF!&gt;=6,#REF!,"")</f>
        <v>#REF!</v>
      </c>
      <c r="B712" s="8">
        <v>13089005</v>
      </c>
      <c r="C712" s="8" t="s">
        <v>159</v>
      </c>
      <c r="D712" s="13">
        <v>0</v>
      </c>
      <c r="E712" s="15" t="s">
        <v>65</v>
      </c>
      <c r="F712" s="16" t="e">
        <f>IF(#REF!&gt;=6,IFERROR(D712*_xlfn.SINGLE(_xlfn.XLOOKUP(B712,MA_ARTICULOS!$A:$A,MA_ARTICULOS!$E:$E,0)),""),"")</f>
        <v>#REF!</v>
      </c>
    </row>
    <row r="713" spans="1:6" x14ac:dyDescent="0.3">
      <c r="A713" s="11" t="e">
        <f>IF(#REF!&gt;=6,#REF!,"")</f>
        <v>#REF!</v>
      </c>
      <c r="B713" s="8">
        <v>13089006</v>
      </c>
      <c r="C713" s="8" t="s">
        <v>160</v>
      </c>
      <c r="D713" s="13">
        <v>0</v>
      </c>
      <c r="E713" s="15" t="s">
        <v>65</v>
      </c>
      <c r="F713" s="16" t="e">
        <f>IF(#REF!&gt;=6,IFERROR(D713*_xlfn.SINGLE(_xlfn.XLOOKUP(B713,MA_ARTICULOS!$A:$A,MA_ARTICULOS!$E:$E,0)),""),"")</f>
        <v>#REF!</v>
      </c>
    </row>
    <row r="714" spans="1:6" x14ac:dyDescent="0.3">
      <c r="A714" s="11" t="e">
        <f>IF(#REF!&gt;=6,#REF!,"")</f>
        <v>#REF!</v>
      </c>
      <c r="B714" s="8">
        <v>13089007</v>
      </c>
      <c r="C714" s="8" t="s">
        <v>161</v>
      </c>
      <c r="D714" s="13">
        <v>0</v>
      </c>
      <c r="E714" s="15" t="s">
        <v>65</v>
      </c>
      <c r="F714" s="16" t="e">
        <f>IF(#REF!&gt;=6,IFERROR(D714*_xlfn.SINGLE(_xlfn.XLOOKUP(B714,MA_ARTICULOS!$A:$A,MA_ARTICULOS!$E:$E,0)),""),"")</f>
        <v>#REF!</v>
      </c>
    </row>
    <row r="715" spans="1:6" x14ac:dyDescent="0.3">
      <c r="A715" s="11" t="e">
        <f>IF(#REF!&gt;=6,#REF!,"")</f>
        <v>#REF!</v>
      </c>
      <c r="B715" s="8">
        <v>13090001</v>
      </c>
      <c r="C715" s="8" t="s">
        <v>162</v>
      </c>
      <c r="D715" s="13">
        <v>0</v>
      </c>
      <c r="E715" s="15" t="s">
        <v>65</v>
      </c>
      <c r="F715" s="16" t="e">
        <f>IF(#REF!&gt;=6,IFERROR(D715*_xlfn.SINGLE(_xlfn.XLOOKUP(B715,MA_ARTICULOS!$A:$A,MA_ARTICULOS!$E:$E,0)),""),"")</f>
        <v>#REF!</v>
      </c>
    </row>
    <row r="716" spans="1:6" x14ac:dyDescent="0.3">
      <c r="A716" s="11" t="e">
        <f>IF(#REF!&gt;=6,#REF!,"")</f>
        <v>#REF!</v>
      </c>
      <c r="B716" s="8">
        <v>13090002</v>
      </c>
      <c r="C716" s="8" t="s">
        <v>163</v>
      </c>
      <c r="D716" s="13">
        <v>0</v>
      </c>
      <c r="E716" s="15" t="s">
        <v>65</v>
      </c>
      <c r="F716" s="16" t="e">
        <f>IF(#REF!&gt;=6,IFERROR(D716*_xlfn.SINGLE(_xlfn.XLOOKUP(B716,MA_ARTICULOS!$A:$A,MA_ARTICULOS!$E:$E,0)),""),"")</f>
        <v>#REF!</v>
      </c>
    </row>
    <row r="717" spans="1:6" x14ac:dyDescent="0.3">
      <c r="A717" s="11" t="e">
        <f>IF(#REF!&gt;=6,#REF!,"")</f>
        <v>#REF!</v>
      </c>
      <c r="B717" s="8">
        <v>13099001</v>
      </c>
      <c r="C717" s="8" t="s">
        <v>164</v>
      </c>
      <c r="D717" s="13">
        <v>0</v>
      </c>
      <c r="E717" s="15" t="s">
        <v>65</v>
      </c>
      <c r="F717" s="16" t="e">
        <f>IF(#REF!&gt;=6,IFERROR(D717*_xlfn.SINGLE(_xlfn.XLOOKUP(B717,MA_ARTICULOS!$A:$A,MA_ARTICULOS!$E:$E,0)),""),"")</f>
        <v>#REF!</v>
      </c>
    </row>
    <row r="718" spans="1:6" x14ac:dyDescent="0.3">
      <c r="A718" s="11" t="e">
        <f>IF(#REF!&gt;=6,#REF!,"")</f>
        <v>#REF!</v>
      </c>
      <c r="B718" s="8">
        <v>13099002</v>
      </c>
      <c r="C718" s="8" t="s">
        <v>165</v>
      </c>
      <c r="D718" s="13">
        <v>0</v>
      </c>
      <c r="E718" s="15" t="s">
        <v>65</v>
      </c>
      <c r="F718" s="16" t="e">
        <f>IF(#REF!&gt;=6,IFERROR(D718*_xlfn.SINGLE(_xlfn.XLOOKUP(B718,MA_ARTICULOS!$A:$A,MA_ARTICULOS!$E:$E,0)),""),"")</f>
        <v>#REF!</v>
      </c>
    </row>
    <row r="719" spans="1:6" x14ac:dyDescent="0.3">
      <c r="A719" s="11" t="e">
        <f>IF(#REF!&gt;=6,#REF!,"")</f>
        <v>#REF!</v>
      </c>
      <c r="B719" s="8">
        <v>13110001</v>
      </c>
      <c r="C719" s="8" t="s">
        <v>166</v>
      </c>
      <c r="D719" s="13">
        <v>0</v>
      </c>
      <c r="E719" s="15" t="s">
        <v>65</v>
      </c>
      <c r="F719" s="16" t="e">
        <f>IF(#REF!&gt;=6,IFERROR(D719*_xlfn.SINGLE(_xlfn.XLOOKUP(B719,MA_ARTICULOS!$A:$A,MA_ARTICULOS!$E:$E,0)),""),"")</f>
        <v>#REF!</v>
      </c>
    </row>
    <row r="720" spans="1:6" x14ac:dyDescent="0.3">
      <c r="A720" s="11" t="e">
        <f>IF(#REF!&gt;=6,#REF!,"")</f>
        <v>#REF!</v>
      </c>
      <c r="B720" s="8">
        <v>13110002</v>
      </c>
      <c r="C720" s="8" t="s">
        <v>167</v>
      </c>
      <c r="D720" s="13">
        <v>0</v>
      </c>
      <c r="E720" s="15" t="s">
        <v>65</v>
      </c>
      <c r="F720" s="16" t="e">
        <f>IF(#REF!&gt;=6,IFERROR(D720*_xlfn.SINGLE(_xlfn.XLOOKUP(B720,MA_ARTICULOS!$A:$A,MA_ARTICULOS!$E:$E,0)),""),"")</f>
        <v>#REF!</v>
      </c>
    </row>
    <row r="721" spans="1:6" x14ac:dyDescent="0.3">
      <c r="A721" s="11" t="e">
        <f>IF(#REF!&gt;=6,#REF!,"")</f>
        <v>#REF!</v>
      </c>
      <c r="B721" s="8">
        <v>13110003</v>
      </c>
      <c r="C721" s="8" t="s">
        <v>168</v>
      </c>
      <c r="D721" s="13">
        <v>0</v>
      </c>
      <c r="E721" s="15" t="s">
        <v>65</v>
      </c>
      <c r="F721" s="16" t="e">
        <f>IF(#REF!&gt;=6,IFERROR(D721*_xlfn.SINGLE(_xlfn.XLOOKUP(B721,MA_ARTICULOS!$A:$A,MA_ARTICULOS!$E:$E,0)),""),"")</f>
        <v>#REF!</v>
      </c>
    </row>
    <row r="722" spans="1:6" x14ac:dyDescent="0.3">
      <c r="A722" s="11" t="e">
        <f>IF(#REF!&gt;=6,#REF!,"")</f>
        <v>#REF!</v>
      </c>
      <c r="B722" s="8">
        <v>13110004</v>
      </c>
      <c r="C722" s="8" t="s">
        <v>169</v>
      </c>
      <c r="D722" s="13">
        <v>0</v>
      </c>
      <c r="E722" s="15" t="s">
        <v>65</v>
      </c>
      <c r="F722" s="16" t="e">
        <f>IF(#REF!&gt;=6,IFERROR(D722*_xlfn.SINGLE(_xlfn.XLOOKUP(B722,MA_ARTICULOS!$A:$A,MA_ARTICULOS!$E:$E,0)),""),"")</f>
        <v>#REF!</v>
      </c>
    </row>
    <row r="723" spans="1:6" x14ac:dyDescent="0.3">
      <c r="A723" s="11" t="e">
        <f>IF(#REF!&gt;=6,#REF!,"")</f>
        <v>#REF!</v>
      </c>
      <c r="B723" s="8">
        <v>13130001</v>
      </c>
      <c r="C723" s="8" t="s">
        <v>170</v>
      </c>
      <c r="D723" s="13">
        <v>0</v>
      </c>
      <c r="E723" s="15" t="s">
        <v>65</v>
      </c>
      <c r="F723" s="16" t="e">
        <f>IF(#REF!&gt;=6,IFERROR(D723*_xlfn.SINGLE(_xlfn.XLOOKUP(B723,MA_ARTICULOS!$A:$A,MA_ARTICULOS!$E:$E,0)),""),"")</f>
        <v>#REF!</v>
      </c>
    </row>
    <row r="724" spans="1:6" x14ac:dyDescent="0.3">
      <c r="A724" s="11" t="e">
        <f>IF(#REF!&gt;=6,#REF!,"")</f>
        <v>#REF!</v>
      </c>
      <c r="B724" s="8">
        <v>13130002</v>
      </c>
      <c r="C724" s="8" t="s">
        <v>171</v>
      </c>
      <c r="D724" s="13">
        <v>0</v>
      </c>
      <c r="E724" s="15" t="s">
        <v>65</v>
      </c>
      <c r="F724" s="16" t="e">
        <f>IF(#REF!&gt;=6,IFERROR(D724*_xlfn.SINGLE(_xlfn.XLOOKUP(B724,MA_ARTICULOS!$A:$A,MA_ARTICULOS!$E:$E,0)),""),"")</f>
        <v>#REF!</v>
      </c>
    </row>
    <row r="725" spans="1:6" x14ac:dyDescent="0.3">
      <c r="A725" s="11" t="e">
        <f>IF(#REF!&gt;=6,#REF!,"")</f>
        <v>#REF!</v>
      </c>
      <c r="B725" s="8">
        <v>13130003</v>
      </c>
      <c r="C725" s="8" t="s">
        <v>172</v>
      </c>
      <c r="D725" s="13">
        <v>0</v>
      </c>
      <c r="E725" s="15" t="s">
        <v>65</v>
      </c>
      <c r="F725" s="16" t="e">
        <f>IF(#REF!&gt;=6,IFERROR(D725*_xlfn.SINGLE(_xlfn.XLOOKUP(B725,MA_ARTICULOS!$A:$A,MA_ARTICULOS!$E:$E,0)),""),"")</f>
        <v>#REF!</v>
      </c>
    </row>
    <row r="726" spans="1:6" x14ac:dyDescent="0.3">
      <c r="A726" s="11" t="e">
        <f>IF(#REF!&gt;=6,#REF!,"")</f>
        <v>#REF!</v>
      </c>
      <c r="B726" s="8">
        <v>23080001</v>
      </c>
      <c r="C726" s="8" t="s">
        <v>173</v>
      </c>
      <c r="D726" s="13">
        <v>0</v>
      </c>
      <c r="E726" s="15" t="s">
        <v>65</v>
      </c>
      <c r="F726" s="16" t="e">
        <f>IF(#REF!&gt;=6,IFERROR(D726*_xlfn.SINGLE(_xlfn.XLOOKUP(B726,MA_ARTICULOS!$A:$A,MA_ARTICULOS!$E:$E,0)),""),"")</f>
        <v>#REF!</v>
      </c>
    </row>
    <row r="727" spans="1:6" x14ac:dyDescent="0.3">
      <c r="A727" s="11" t="e">
        <f>IF(#REF!&gt;=6,#REF!,"")</f>
        <v>#REF!</v>
      </c>
      <c r="B727" s="8">
        <v>23080002</v>
      </c>
      <c r="C727" s="8" t="s">
        <v>174</v>
      </c>
      <c r="D727" s="13">
        <v>0</v>
      </c>
      <c r="E727" s="15" t="s">
        <v>65</v>
      </c>
      <c r="F727" s="16" t="e">
        <f>IF(#REF!&gt;=6,IFERROR(D727*_xlfn.SINGLE(_xlfn.XLOOKUP(B727,MA_ARTICULOS!$A:$A,MA_ARTICULOS!$E:$E,0)),""),"")</f>
        <v>#REF!</v>
      </c>
    </row>
    <row r="728" spans="1:6" x14ac:dyDescent="0.3">
      <c r="A728" s="11" t="e">
        <f>IF(#REF!&gt;=6,#REF!,"")</f>
        <v>#REF!</v>
      </c>
      <c r="B728" s="8">
        <v>23080003</v>
      </c>
      <c r="C728" s="8" t="s">
        <v>175</v>
      </c>
      <c r="D728" s="13">
        <v>0</v>
      </c>
      <c r="E728" s="15" t="s">
        <v>65</v>
      </c>
      <c r="F728" s="16" t="e">
        <f>IF(#REF!&gt;=6,IFERROR(D728*_xlfn.SINGLE(_xlfn.XLOOKUP(B728,MA_ARTICULOS!$A:$A,MA_ARTICULOS!$E:$E,0)),""),"")</f>
        <v>#REF!</v>
      </c>
    </row>
    <row r="729" spans="1:6" x14ac:dyDescent="0.3">
      <c r="A729" s="11" t="e">
        <f>IF(#REF!&gt;=6,#REF!,"")</f>
        <v>#REF!</v>
      </c>
      <c r="B729" s="8">
        <v>23080004</v>
      </c>
      <c r="C729" s="8" t="s">
        <v>176</v>
      </c>
      <c r="D729" s="13">
        <v>0</v>
      </c>
      <c r="E729" s="15" t="s">
        <v>65</v>
      </c>
      <c r="F729" s="16" t="e">
        <f>IF(#REF!&gt;=6,IFERROR(D729*_xlfn.SINGLE(_xlfn.XLOOKUP(B729,MA_ARTICULOS!$A:$A,MA_ARTICULOS!$E:$E,0)),""),"")</f>
        <v>#REF!</v>
      </c>
    </row>
    <row r="730" spans="1:6" x14ac:dyDescent="0.3">
      <c r="A730" s="11" t="e">
        <f>IF(#REF!&gt;=6,#REF!,"")</f>
        <v>#REF!</v>
      </c>
      <c r="B730" s="8">
        <v>23080005</v>
      </c>
      <c r="C730" s="8" t="s">
        <v>177</v>
      </c>
      <c r="D730" s="13">
        <v>0</v>
      </c>
      <c r="E730" s="15" t="s">
        <v>65</v>
      </c>
      <c r="F730" s="16" t="e">
        <f>IF(#REF!&gt;=6,IFERROR(D730*_xlfn.SINGLE(_xlfn.XLOOKUP(B730,MA_ARTICULOS!$A:$A,MA_ARTICULOS!$E:$E,0)),""),"")</f>
        <v>#REF!</v>
      </c>
    </row>
    <row r="731" spans="1:6" x14ac:dyDescent="0.3">
      <c r="A731" s="11" t="e">
        <f>IF(#REF!&gt;=6,#REF!,"")</f>
        <v>#REF!</v>
      </c>
      <c r="B731" s="8">
        <v>23080006</v>
      </c>
      <c r="C731" s="8" t="s">
        <v>178</v>
      </c>
      <c r="D731" s="13">
        <v>0</v>
      </c>
      <c r="E731" s="15" t="s">
        <v>65</v>
      </c>
      <c r="F731" s="16" t="e">
        <f>IF(#REF!&gt;=6,IFERROR(D731*_xlfn.SINGLE(_xlfn.XLOOKUP(B731,MA_ARTICULOS!$A:$A,MA_ARTICULOS!$E:$E,0)),""),"")</f>
        <v>#REF!</v>
      </c>
    </row>
    <row r="732" spans="1:6" x14ac:dyDescent="0.3">
      <c r="A732" s="11" t="e">
        <f>IF(#REF!&gt;=6,#REF!,"")</f>
        <v>#REF!</v>
      </c>
      <c r="B732" s="8">
        <v>23080007</v>
      </c>
      <c r="C732" s="8" t="s">
        <v>179</v>
      </c>
      <c r="D732" s="13">
        <v>0</v>
      </c>
      <c r="E732" s="15" t="s">
        <v>65</v>
      </c>
      <c r="F732" s="16" t="e">
        <f>IF(#REF!&gt;=6,IFERROR(D732*_xlfn.SINGLE(_xlfn.XLOOKUP(B732,MA_ARTICULOS!$A:$A,MA_ARTICULOS!$E:$E,0)),""),"")</f>
        <v>#REF!</v>
      </c>
    </row>
    <row r="733" spans="1:6" x14ac:dyDescent="0.3">
      <c r="A733" s="11" t="e">
        <f>IF(#REF!&gt;=6,#REF!,"")</f>
        <v>#REF!</v>
      </c>
      <c r="B733" s="8">
        <v>101</v>
      </c>
      <c r="C733" s="8" t="s">
        <v>180</v>
      </c>
      <c r="D733" s="13">
        <v>0</v>
      </c>
      <c r="E733" s="15" t="s">
        <v>65</v>
      </c>
      <c r="F733" s="16" t="e">
        <f>IF(#REF!&gt;=6,IFERROR(D733*_xlfn.SINGLE(_xlfn.XLOOKUP(B733,MA_ARTICULOS!$A:$A,MA_ARTICULOS!$E:$E,0)),""),"")</f>
        <v>#REF!</v>
      </c>
    </row>
    <row r="734" spans="1:6" x14ac:dyDescent="0.3">
      <c r="A734" s="11" t="e">
        <f>IF(#REF!&gt;=6,#REF!,"")</f>
        <v>#REF!</v>
      </c>
      <c r="B734" s="8">
        <v>102</v>
      </c>
      <c r="C734" s="8" t="s">
        <v>181</v>
      </c>
      <c r="D734" s="13">
        <v>0</v>
      </c>
      <c r="E734" s="15" t="s">
        <v>65</v>
      </c>
      <c r="F734" s="16" t="e">
        <f>IF(#REF!&gt;=6,IFERROR(D734*_xlfn.SINGLE(_xlfn.XLOOKUP(B734,MA_ARTICULOS!$A:$A,MA_ARTICULOS!$E:$E,0)),""),"")</f>
        <v>#REF!</v>
      </c>
    </row>
    <row r="735" spans="1:6" x14ac:dyDescent="0.3">
      <c r="A735" s="11" t="e">
        <f>IF(#REF!&gt;=6,#REF!,"")</f>
        <v>#REF!</v>
      </c>
      <c r="B735" s="8">
        <v>104</v>
      </c>
      <c r="C735" s="8" t="s">
        <v>182</v>
      </c>
      <c r="D735" s="13">
        <v>0</v>
      </c>
      <c r="E735" s="15" t="s">
        <v>65</v>
      </c>
      <c r="F735" s="16" t="e">
        <f>IF(#REF!&gt;=6,IFERROR(D735*_xlfn.SINGLE(_xlfn.XLOOKUP(B735,MA_ARTICULOS!$A:$A,MA_ARTICULOS!$E:$E,0)),""),"")</f>
        <v>#REF!</v>
      </c>
    </row>
    <row r="736" spans="1:6" x14ac:dyDescent="0.3">
      <c r="A736" s="11" t="e">
        <f>IF(#REF!&gt;=6,#REF!,"")</f>
        <v>#REF!</v>
      </c>
      <c r="B736" s="8">
        <v>105</v>
      </c>
      <c r="C736" s="8" t="s">
        <v>183</v>
      </c>
      <c r="D736" s="13">
        <v>0</v>
      </c>
      <c r="E736" s="15" t="s">
        <v>65</v>
      </c>
      <c r="F736" s="16" t="e">
        <f>IF(#REF!&gt;=6,IFERROR(D736*_xlfn.SINGLE(_xlfn.XLOOKUP(B736,MA_ARTICULOS!$A:$A,MA_ARTICULOS!$E:$E,0)),""),"")</f>
        <v>#REF!</v>
      </c>
    </row>
    <row r="737" spans="1:6" x14ac:dyDescent="0.3">
      <c r="A737" s="11" t="e">
        <f>IF(#REF!&gt;=6,#REF!,"")</f>
        <v>#REF!</v>
      </c>
      <c r="B737" s="8">
        <v>106</v>
      </c>
      <c r="C737" s="8" t="s">
        <v>184</v>
      </c>
      <c r="D737" s="13">
        <v>0</v>
      </c>
      <c r="E737" s="15" t="s">
        <v>65</v>
      </c>
      <c r="F737" s="16" t="e">
        <f>IF(#REF!&gt;=6,IFERROR(D737*_xlfn.SINGLE(_xlfn.XLOOKUP(B737,MA_ARTICULOS!$A:$A,MA_ARTICULOS!$E:$E,0)),""),"")</f>
        <v>#REF!</v>
      </c>
    </row>
    <row r="738" spans="1:6" x14ac:dyDescent="0.3">
      <c r="A738" s="11" t="e">
        <f>IF(#REF!&gt;=6,#REF!,"")</f>
        <v>#REF!</v>
      </c>
      <c r="B738" s="8">
        <v>120</v>
      </c>
      <c r="C738" s="8" t="s">
        <v>185</v>
      </c>
      <c r="D738" s="13">
        <v>0</v>
      </c>
      <c r="E738" s="15" t="s">
        <v>65</v>
      </c>
      <c r="F738" s="16" t="e">
        <f>IF(#REF!&gt;=6,IFERROR(D738*_xlfn.SINGLE(_xlfn.XLOOKUP(B738,MA_ARTICULOS!$A:$A,MA_ARTICULOS!$E:$E,0)),""),"")</f>
        <v>#REF!</v>
      </c>
    </row>
    <row r="739" spans="1:6" x14ac:dyDescent="0.3">
      <c r="A739" s="11" t="e">
        <f>IF(#REF!&gt;=6,#REF!,"")</f>
        <v>#REF!</v>
      </c>
      <c r="B739" s="8">
        <v>121</v>
      </c>
      <c r="C739" s="8" t="s">
        <v>186</v>
      </c>
      <c r="D739" s="13">
        <v>0</v>
      </c>
      <c r="E739" s="15" t="s">
        <v>65</v>
      </c>
      <c r="F739" s="16" t="e">
        <f>IF(#REF!&gt;=6,IFERROR(D739*_xlfn.SINGLE(_xlfn.XLOOKUP(B739,MA_ARTICULOS!$A:$A,MA_ARTICULOS!$E:$E,0)),""),"")</f>
        <v>#REF!</v>
      </c>
    </row>
  </sheetData>
  <mergeCells count="1">
    <mergeCell ref="A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MA_CLIENTES</vt:lpstr>
      <vt:lpstr>MA_ARTICULOS</vt:lpstr>
      <vt:lpstr>TX_LINEAS_PEDIDOS</vt:lpstr>
      <vt:lpstr>TX_TURNOS</vt:lpstr>
      <vt:lpstr>TX_STOCK_DIA</vt:lpstr>
      <vt:lpstr>TX_PLAN_PROD_DIA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MTrojavchich</dc:creator>
  <cp:lastModifiedBy>Matias</cp:lastModifiedBy>
  <dcterms:created xsi:type="dcterms:W3CDTF">2026-02-20T14:23:01Z</dcterms:created>
  <dcterms:modified xsi:type="dcterms:W3CDTF">2026-03-04T14:59:16Z</dcterms:modified>
</cp:coreProperties>
</file>